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/>
  <mc:AlternateContent xmlns:mc="http://schemas.openxmlformats.org/markup-compatibility/2006">
    <mc:Choice Requires="x15">
      <x15ac:absPath xmlns:x15ac="http://schemas.microsoft.com/office/spreadsheetml/2010/11/ac" url="C:\Users\MZapapt\Desktop\"/>
    </mc:Choice>
  </mc:AlternateContent>
  <xr:revisionPtr revIDLastSave="0" documentId="8_{AB8F3FF7-B19D-4571-93BD-4716BF08794A}" xr6:coauthVersionLast="47" xr6:coauthVersionMax="47" xr10:uidLastSave="{00000000-0000-0000-0000-000000000000}"/>
  <bookViews>
    <workbookView xWindow="29925" yWindow="0" windowWidth="18450" windowHeight="15600" tabRatio="861" firstSheet="3" activeTab="6" xr2:uid="{246CB5FA-7E5D-4BEE-AAB9-A1DFEB8449D7}"/>
  </bookViews>
  <sheets>
    <sheet name="Sheet1" sheetId="1" r:id="rId1"/>
    <sheet name="Above700" sheetId="2" r:id="rId2"/>
    <sheet name="Above700Production" sheetId="4" r:id="rId3"/>
    <sheet name="ErroneousDataProduction" sheetId="6" r:id="rId4"/>
    <sheet name="ErroneousProd" sheetId="9" r:id="rId5"/>
    <sheet name="Sheet2" sheetId="8" r:id="rId6"/>
    <sheet name="ErroneousDataChloride" sheetId="7" r:id="rId7"/>
    <sheet name="Above700Chloride" sheetId="5" r:id="rId8"/>
    <sheet name="ErroneousChloride" sheetId="10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0" l="1"/>
  <c r="C20" i="10"/>
  <c r="B20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B11" i="10"/>
  <c r="C10" i="10"/>
  <c r="B10" i="10"/>
  <c r="C9" i="10"/>
  <c r="B9" i="10"/>
  <c r="C8" i="10"/>
  <c r="B8" i="10"/>
  <c r="C7" i="10"/>
  <c r="B7" i="10"/>
  <c r="C6" i="10"/>
  <c r="B6" i="10"/>
  <c r="C5" i="10"/>
  <c r="B5" i="10"/>
  <c r="E1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K12" i="9" l="1"/>
  <c r="M12" i="9"/>
  <c r="M11" i="9"/>
  <c r="M20" i="9"/>
  <c r="L20" i="9"/>
  <c r="K20" i="9"/>
  <c r="J20" i="9"/>
  <c r="M19" i="9"/>
  <c r="L19" i="9"/>
  <c r="K19" i="9"/>
  <c r="J19" i="9"/>
  <c r="M18" i="9"/>
  <c r="L18" i="9"/>
  <c r="K18" i="9"/>
  <c r="J18" i="9"/>
  <c r="M17" i="9"/>
  <c r="L17" i="9"/>
  <c r="K17" i="9"/>
  <c r="J17" i="9"/>
  <c r="M16" i="9"/>
  <c r="L16" i="9"/>
  <c r="K16" i="9"/>
  <c r="J16" i="9"/>
  <c r="M15" i="9"/>
  <c r="L15" i="9"/>
  <c r="K15" i="9"/>
  <c r="J15" i="9"/>
  <c r="M14" i="9"/>
  <c r="L14" i="9"/>
  <c r="K14" i="9"/>
  <c r="J14" i="9"/>
  <c r="M13" i="9"/>
  <c r="L13" i="9"/>
  <c r="K13" i="9"/>
  <c r="J13" i="9"/>
  <c r="L12" i="9"/>
  <c r="J12" i="9"/>
  <c r="L11" i="9"/>
  <c r="K11" i="9"/>
  <c r="J11" i="9"/>
  <c r="M10" i="9"/>
  <c r="L10" i="9"/>
  <c r="K10" i="9"/>
  <c r="J10" i="9"/>
  <c r="M9" i="9"/>
  <c r="L9" i="9"/>
  <c r="K9" i="9"/>
  <c r="J9" i="9"/>
  <c r="M8" i="9"/>
  <c r="L8" i="9"/>
  <c r="K8" i="9"/>
  <c r="J8" i="9"/>
  <c r="M7" i="9"/>
  <c r="L7" i="9"/>
  <c r="K7" i="9"/>
  <c r="J7" i="9"/>
  <c r="M6" i="9"/>
  <c r="L6" i="9"/>
  <c r="K6" i="9"/>
  <c r="J6" i="9"/>
  <c r="M5" i="9"/>
  <c r="L5" i="9"/>
  <c r="K5" i="9"/>
  <c r="J5" i="9"/>
  <c r="I20" i="9"/>
  <c r="H20" i="9"/>
  <c r="I19" i="9"/>
  <c r="H19" i="9"/>
  <c r="I18" i="9"/>
  <c r="H18" i="9"/>
  <c r="I17" i="9"/>
  <c r="H17" i="9"/>
  <c r="I16" i="9"/>
  <c r="H16" i="9"/>
  <c r="I15" i="9"/>
  <c r="H15" i="9"/>
  <c r="I14" i="9"/>
  <c r="H14" i="9"/>
  <c r="I13" i="9"/>
  <c r="H13" i="9"/>
  <c r="I12" i="9"/>
  <c r="H12" i="9"/>
  <c r="I11" i="9"/>
  <c r="H11" i="9"/>
  <c r="I10" i="9"/>
  <c r="H10" i="9"/>
  <c r="I9" i="9"/>
  <c r="H9" i="9"/>
  <c r="I8" i="9"/>
  <c r="H8" i="9"/>
  <c r="I7" i="9"/>
  <c r="H7" i="9"/>
  <c r="I6" i="9"/>
  <c r="H6" i="9"/>
  <c r="I5" i="9"/>
  <c r="H5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C13" i="9"/>
  <c r="C517" i="9"/>
  <c r="C1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B13" i="9"/>
  <c r="C12" i="9"/>
  <c r="B12" i="9"/>
  <c r="B11" i="9"/>
  <c r="C10" i="9"/>
  <c r="B10" i="9"/>
  <c r="C9" i="9"/>
  <c r="B9" i="9"/>
  <c r="C8" i="9"/>
  <c r="B8" i="9"/>
  <c r="C7" i="9"/>
  <c r="B7" i="9"/>
  <c r="C6" i="9"/>
  <c r="B6" i="9"/>
  <c r="C5" i="9"/>
  <c r="B5" i="9"/>
  <c r="C2" i="6" l="1"/>
  <c r="N440" i="4"/>
  <c r="N439" i="4"/>
  <c r="N438" i="4"/>
  <c r="N436" i="4"/>
  <c r="N435" i="4"/>
  <c r="N433" i="4"/>
  <c r="M348" i="4"/>
  <c r="H348" i="4"/>
  <c r="C348" i="4"/>
  <c r="B348" i="4"/>
  <c r="M347" i="4"/>
  <c r="H347" i="4"/>
  <c r="C347" i="4"/>
  <c r="M346" i="4"/>
  <c r="H346" i="4"/>
  <c r="C346" i="4"/>
  <c r="M345" i="4"/>
  <c r="H345" i="4"/>
  <c r="C345" i="4"/>
  <c r="M344" i="4"/>
  <c r="H344" i="4"/>
  <c r="C344" i="4"/>
  <c r="M343" i="4"/>
  <c r="H343" i="4"/>
  <c r="C343" i="4"/>
  <c r="M342" i="4"/>
  <c r="H342" i="4"/>
  <c r="C342" i="4"/>
  <c r="L330" i="4"/>
  <c r="I330" i="4"/>
  <c r="H330" i="4"/>
  <c r="L329" i="4"/>
  <c r="I329" i="4"/>
  <c r="H329" i="4"/>
  <c r="L328" i="4"/>
  <c r="I328" i="4"/>
  <c r="L327" i="4"/>
  <c r="I327" i="4"/>
  <c r="L326" i="4"/>
  <c r="I326" i="4"/>
  <c r="L325" i="4"/>
  <c r="I325" i="4"/>
  <c r="I324" i="4"/>
  <c r="I323" i="4"/>
  <c r="I322" i="4"/>
  <c r="B348" i="2"/>
  <c r="R440" i="2"/>
  <c r="R439" i="2"/>
  <c r="R438" i="2"/>
  <c r="R436" i="2"/>
  <c r="R435" i="2"/>
  <c r="R433" i="2"/>
  <c r="Q348" i="2"/>
  <c r="J348" i="2"/>
  <c r="C348" i="2"/>
  <c r="Q347" i="2"/>
  <c r="J347" i="2"/>
  <c r="C347" i="2"/>
  <c r="Q346" i="2"/>
  <c r="J346" i="2"/>
  <c r="C346" i="2"/>
  <c r="Q345" i="2"/>
  <c r="J345" i="2"/>
  <c r="C345" i="2"/>
  <c r="Q344" i="2"/>
  <c r="J344" i="2"/>
  <c r="C344" i="2"/>
  <c r="Q343" i="2"/>
  <c r="J343" i="2"/>
  <c r="C343" i="2"/>
  <c r="Q342" i="2"/>
  <c r="J342" i="2"/>
  <c r="C342" i="2"/>
  <c r="P330" i="2"/>
  <c r="K330" i="2"/>
  <c r="J330" i="2"/>
  <c r="P329" i="2"/>
  <c r="K329" i="2"/>
  <c r="J329" i="2"/>
  <c r="P328" i="2"/>
  <c r="K328" i="2"/>
  <c r="P327" i="2"/>
  <c r="K327" i="2"/>
  <c r="P326" i="2"/>
  <c r="K326" i="2"/>
  <c r="P325" i="2"/>
  <c r="K325" i="2"/>
  <c r="K324" i="2"/>
  <c r="K323" i="2"/>
  <c r="K322" i="2"/>
  <c r="AG440" i="1"/>
  <c r="AG439" i="1"/>
  <c r="AG438" i="1"/>
  <c r="AG436" i="1"/>
  <c r="AG435" i="1"/>
  <c r="AG433" i="1"/>
  <c r="AE348" i="1"/>
  <c r="S348" i="1"/>
  <c r="E348" i="1"/>
  <c r="C348" i="1"/>
  <c r="AE347" i="1"/>
  <c r="S347" i="1"/>
  <c r="E347" i="1"/>
  <c r="AE346" i="1"/>
  <c r="S346" i="1"/>
  <c r="E346" i="1"/>
  <c r="AE345" i="1"/>
  <c r="S345" i="1"/>
  <c r="E345" i="1"/>
  <c r="AE344" i="1"/>
  <c r="S344" i="1"/>
  <c r="E344" i="1"/>
  <c r="AE343" i="1"/>
  <c r="S343" i="1"/>
  <c r="E343" i="1"/>
  <c r="AE342" i="1"/>
  <c r="S342" i="1"/>
  <c r="E342" i="1"/>
  <c r="AC330" i="1"/>
  <c r="U330" i="1"/>
  <c r="S330" i="1"/>
  <c r="AC329" i="1"/>
  <c r="U329" i="1"/>
  <c r="S329" i="1"/>
  <c r="AC328" i="1"/>
  <c r="U328" i="1"/>
  <c r="AC327" i="1"/>
  <c r="U327" i="1"/>
  <c r="AC326" i="1"/>
  <c r="U326" i="1"/>
  <c r="AC325" i="1"/>
  <c r="U325" i="1"/>
  <c r="U324" i="1"/>
  <c r="U323" i="1"/>
  <c r="U3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MSnaer</author>
  </authors>
  <commentList>
    <comment ref="C406" authorId="0" shapeId="0" xr:uid="{7DF7F808-466E-4801-86A7-6184D9A20AF8}">
      <text>
        <r>
          <rPr>
            <b/>
            <sz val="9"/>
            <color indexed="81"/>
            <rFont val="Tahoma"/>
            <family val="2"/>
          </rPr>
          <t>MSnaer:</t>
        </r>
        <r>
          <rPr>
            <sz val="9"/>
            <color indexed="81"/>
            <rFont val="Tahoma"/>
            <family val="2"/>
          </rPr>
          <t xml:space="preserve">
corrected and verified on shared CPDB 2023 excel sheet</t>
        </r>
      </text>
    </comment>
    <comment ref="H406" authorId="0" shapeId="0" xr:uid="{8FE5FFB2-7B9B-437A-ABB1-0F60BAEB65B7}">
      <text>
        <r>
          <rPr>
            <b/>
            <sz val="9"/>
            <color indexed="81"/>
            <rFont val="Tahoma"/>
            <family val="2"/>
          </rPr>
          <t>MSnaer:</t>
        </r>
        <r>
          <rPr>
            <sz val="9"/>
            <color indexed="81"/>
            <rFont val="Tahoma"/>
            <family val="2"/>
          </rPr>
          <t xml:space="preserve">
corrected and verified on shared CPDB 2023 Excel sheet </t>
        </r>
      </text>
    </comment>
    <comment ref="H413" authorId="0" shapeId="0" xr:uid="{D1D26BDB-8659-4A18-9AA7-69D78A12B7F4}">
      <text>
        <r>
          <rPr>
            <b/>
            <sz val="9"/>
            <color indexed="81"/>
            <rFont val="Tahoma"/>
            <family val="2"/>
          </rPr>
          <t>MSnaer:</t>
        </r>
        <r>
          <rPr>
            <sz val="9"/>
            <color indexed="81"/>
            <rFont val="Tahoma"/>
            <family val="2"/>
          </rPr>
          <t xml:space="preserve">
verified</t>
        </r>
      </text>
    </comment>
    <comment ref="C414" authorId="0" shapeId="0" xr:uid="{71219A65-D4CA-4EB1-A37E-1DB218AE3599}">
      <text>
        <r>
          <rPr>
            <b/>
            <sz val="9"/>
            <color indexed="81"/>
            <rFont val="Tahoma"/>
            <family val="2"/>
          </rPr>
          <t>MSnaer:</t>
        </r>
        <r>
          <rPr>
            <sz val="9"/>
            <color indexed="81"/>
            <rFont val="Tahoma"/>
            <family val="2"/>
          </rPr>
          <t xml:space="preserve">
verified
</t>
        </r>
      </text>
    </comment>
    <comment ref="M422" authorId="0" shapeId="0" xr:uid="{87E745BE-5488-4100-8EC8-F9738AC44D2F}">
      <text>
        <r>
          <rPr>
            <b/>
            <sz val="9"/>
            <color indexed="81"/>
            <rFont val="Tahoma"/>
            <family val="2"/>
          </rPr>
          <t>MSnaer:</t>
        </r>
        <r>
          <rPr>
            <sz val="9"/>
            <color indexed="81"/>
            <rFont val="Tahoma"/>
            <family val="2"/>
          </rPr>
          <t xml:space="preserve">
verified</t>
        </r>
      </text>
    </comment>
    <comment ref="C431" authorId="0" shapeId="0" xr:uid="{FA517CEF-7573-4B35-BAF8-C4DB2B8A92B6}">
      <text>
        <r>
          <rPr>
            <b/>
            <sz val="9"/>
            <color indexed="81"/>
            <rFont val="Tahoma"/>
            <family val="2"/>
          </rPr>
          <t>MSnaer:</t>
        </r>
        <r>
          <rPr>
            <sz val="9"/>
            <color indexed="81"/>
            <rFont val="Tahoma"/>
            <family val="2"/>
          </rPr>
          <t xml:space="preserve">
verified</t>
        </r>
      </text>
    </comment>
  </commentList>
</comments>
</file>

<file path=xl/sharedStrings.xml><?xml version="1.0" encoding="utf-8"?>
<sst xmlns="http://schemas.openxmlformats.org/spreadsheetml/2006/main" count="204" uniqueCount="34">
  <si>
    <t>Machanao</t>
  </si>
  <si>
    <t>Upi</t>
  </si>
  <si>
    <t>Finegayan</t>
  </si>
  <si>
    <t>Hagåtña</t>
  </si>
  <si>
    <t>Yigo-Tumon</t>
  </si>
  <si>
    <t>Well #</t>
  </si>
  <si>
    <t>AG02</t>
  </si>
  <si>
    <t>Y15</t>
  </si>
  <si>
    <t>F03</t>
  </si>
  <si>
    <t>F04</t>
  </si>
  <si>
    <t>HGC2</t>
  </si>
  <si>
    <t>A10</t>
  </si>
  <si>
    <t>A17</t>
  </si>
  <si>
    <t>A28</t>
  </si>
  <si>
    <t>A30</t>
  </si>
  <si>
    <t>D12</t>
  </si>
  <si>
    <t>D13</t>
  </si>
  <si>
    <t>F20</t>
  </si>
  <si>
    <t>M15</t>
  </si>
  <si>
    <t>Y19</t>
  </si>
  <si>
    <t>Y20</t>
  </si>
  <si>
    <t>Maui Well</t>
  </si>
  <si>
    <t>[Cl-]
(mg/L)</t>
  </si>
  <si>
    <t>Production
(avg GPM)</t>
  </si>
  <si>
    <t/>
  </si>
  <si>
    <t>Date</t>
  </si>
  <si>
    <t>Well ID</t>
  </si>
  <si>
    <t>Value (avg GPM)</t>
  </si>
  <si>
    <t>Reason</t>
  </si>
  <si>
    <t>Value too high when compared to previous and succeeding data</t>
  </si>
  <si>
    <t>Value ([Cl-] mg/L)</t>
  </si>
  <si>
    <t>Coordinates</t>
  </si>
  <si>
    <t>Slope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</si>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</sst>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yy"/>
    <numFmt numFmtId="165" formatCode="0.0"/>
    <numFmt numFmtId="166" formatCode="[$-409]mmmm\-yy;@"/>
    <numFmt numFmtId="167" formatCode="0.000"/>
    <numFmt numFmtId="168" formatCode="yyyy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13"/>
      <color theme="3"/>
      <name val="Microsoft Sans Serif"/>
      <family val="2"/>
    </font>
    <font>
      <sz val="12"/>
      <name val="Aptos Narrow"/>
      <family val="2"/>
      <scheme val="minor"/>
    </font>
    <font>
      <b/>
      <sz val="11"/>
      <color theme="3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Arial"/>
      <family val="2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3" fillId="0" borderId="1" applyNumberFormat="0" applyFill="0" applyAlignment="0" applyProtection="0"/>
    <xf numFmtId="0" fontId="5" fillId="0" borderId="2" applyNumberFormat="0" applyFill="0" applyAlignment="0" applyProtection="0"/>
    <xf numFmtId="0" fontId="6" fillId="2" borderId="0" applyNumberFormat="0" applyBorder="0" applyAlignment="0" applyProtection="0"/>
    <xf numFmtId="0" fontId="7" fillId="0" borderId="0"/>
    <xf numFmtId="0" fontId="13" fillId="0" borderId="0"/>
  </cellStyleXfs>
  <cellXfs count="126">
    <xf numFmtId="0" fontId="0" fillId="0" borderId="0" xfId="0"/>
    <xf numFmtId="0" fontId="4" fillId="10" borderId="7" xfId="3" applyFont="1" applyFill="1" applyBorder="1" applyAlignment="1">
      <alignment horizontal="center" vertical="center"/>
    </xf>
    <xf numFmtId="0" fontId="4" fillId="11" borderId="7" xfId="2" applyFont="1" applyFill="1" applyBorder="1" applyAlignment="1" applyProtection="1">
      <alignment horizontal="center" vertical="center"/>
      <protection locked="0"/>
    </xf>
    <xf numFmtId="165" fontId="4" fillId="10" borderId="8" xfId="4" applyNumberFormat="1" applyFont="1" applyFill="1" applyBorder="1" applyAlignment="1" applyProtection="1">
      <alignment horizontal="center" vertical="center" wrapText="1"/>
      <protection locked="0"/>
    </xf>
    <xf numFmtId="1" fontId="4" fillId="10" borderId="7" xfId="4" applyNumberFormat="1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1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5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 applyProtection="1">
      <alignment horizontal="center"/>
      <protection locked="0"/>
    </xf>
    <xf numFmtId="0" fontId="4" fillId="0" borderId="0" xfId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/>
      <protection locked="0"/>
    </xf>
    <xf numFmtId="1" fontId="4" fillId="0" borderId="0" xfId="1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1" fontId="8" fillId="0" borderId="0" xfId="0" applyNumberFormat="1" applyFont="1" applyAlignment="1" applyProtection="1">
      <alignment horizontal="center"/>
      <protection locked="0"/>
    </xf>
    <xf numFmtId="1" fontId="8" fillId="0" borderId="0" xfId="0" applyNumberFormat="1" applyFont="1" applyAlignment="1" applyProtection="1">
      <alignment horizontal="center" vertical="center"/>
      <protection locked="0"/>
    </xf>
    <xf numFmtId="1" fontId="8" fillId="7" borderId="0" xfId="0" applyNumberFormat="1" applyFont="1" applyFill="1" applyAlignment="1" applyProtection="1">
      <alignment horizontal="center"/>
      <protection locked="0"/>
    </xf>
    <xf numFmtId="1" fontId="8" fillId="7" borderId="0" xfId="0" applyNumberFormat="1" applyFont="1" applyFill="1" applyAlignment="1" applyProtection="1">
      <alignment horizontal="center" vertical="center"/>
      <protection locked="0"/>
    </xf>
    <xf numFmtId="1" fontId="4" fillId="0" borderId="0" xfId="0" applyNumberFormat="1" applyFont="1" applyAlignment="1">
      <alignment horizontal="center"/>
    </xf>
    <xf numFmtId="1" fontId="8" fillId="13" borderId="0" xfId="0" applyNumberFormat="1" applyFont="1" applyFill="1" applyAlignment="1" applyProtection="1">
      <alignment horizontal="center"/>
      <protection locked="0"/>
    </xf>
    <xf numFmtId="0" fontId="4" fillId="8" borderId="7" xfId="3" applyFont="1" applyFill="1" applyBorder="1" applyAlignment="1">
      <alignment horizontal="center" vertical="center"/>
    </xf>
    <xf numFmtId="0" fontId="4" fillId="9" borderId="7" xfId="3" applyFont="1" applyFill="1" applyBorder="1" applyAlignment="1">
      <alignment horizontal="center" vertical="center"/>
    </xf>
    <xf numFmtId="0" fontId="4" fillId="12" borderId="7" xfId="3" applyFont="1" applyFill="1" applyBorder="1" applyAlignment="1">
      <alignment horizontal="center" vertical="center"/>
    </xf>
    <xf numFmtId="1" fontId="4" fillId="8" borderId="7" xfId="4" applyNumberFormat="1" applyFont="1" applyFill="1" applyBorder="1" applyAlignment="1" applyProtection="1">
      <alignment horizontal="center" vertical="center" wrapText="1"/>
      <protection locked="0"/>
    </xf>
    <xf numFmtId="165" fontId="4" fillId="9" borderId="8" xfId="4" applyNumberFormat="1" applyFont="1" applyFill="1" applyBorder="1" applyAlignment="1" applyProtection="1">
      <alignment horizontal="center" vertical="center" wrapText="1"/>
      <protection locked="0"/>
    </xf>
    <xf numFmtId="1" fontId="4" fillId="9" borderId="7" xfId="4" applyNumberFormat="1" applyFont="1" applyFill="1" applyBorder="1" applyAlignment="1" applyProtection="1">
      <alignment horizontal="center" vertical="center" wrapText="1"/>
      <protection locked="0"/>
    </xf>
    <xf numFmtId="0" fontId="4" fillId="11" borderId="7" xfId="4" applyFont="1" applyFill="1" applyBorder="1" applyAlignment="1" applyProtection="1">
      <alignment horizontal="center" vertical="center" wrapText="1"/>
      <protection locked="0"/>
    </xf>
    <xf numFmtId="1" fontId="4" fillId="11" borderId="7" xfId="4" applyNumberFormat="1" applyFont="1" applyFill="1" applyBorder="1" applyAlignment="1" applyProtection="1">
      <alignment horizontal="center" vertical="center" wrapText="1"/>
      <protection locked="0"/>
    </xf>
    <xf numFmtId="0" fontId="4" fillId="12" borderId="7" xfId="4" applyFont="1" applyFill="1" applyBorder="1" applyAlignment="1">
      <alignment horizontal="center" vertical="center" wrapText="1"/>
    </xf>
    <xf numFmtId="1" fontId="4" fillId="12" borderId="7" xfId="4" applyNumberFormat="1" applyFont="1" applyFill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0" borderId="7" xfId="0" applyBorder="1"/>
    <xf numFmtId="164" fontId="4" fillId="0" borderId="7" xfId="2" applyNumberFormat="1" applyFont="1" applyBorder="1" applyAlignment="1" applyProtection="1">
      <alignment horizontal="center" vertical="center"/>
      <protection locked="0"/>
    </xf>
    <xf numFmtId="165" fontId="4" fillId="8" borderId="10" xfId="4" applyNumberFormat="1" applyFont="1" applyFill="1" applyBorder="1" applyAlignment="1" applyProtection="1">
      <alignment horizontal="center" vertical="center" wrapText="1"/>
      <protection locked="0"/>
    </xf>
    <xf numFmtId="164" fontId="4" fillId="0" borderId="7" xfId="0" applyNumberFormat="1" applyFont="1" applyBorder="1" applyAlignment="1" applyProtection="1">
      <alignment horizontal="center" vertical="center"/>
      <protection locked="0"/>
    </xf>
    <xf numFmtId="164" fontId="8" fillId="0" borderId="7" xfId="0" applyNumberFormat="1" applyFont="1" applyBorder="1" applyAlignment="1" applyProtection="1">
      <alignment horizontal="center"/>
      <protection locked="0"/>
    </xf>
    <xf numFmtId="0" fontId="4" fillId="10" borderId="7" xfId="3" applyFont="1" applyFill="1" applyBorder="1" applyAlignment="1">
      <alignment vertical="center"/>
    </xf>
    <xf numFmtId="0" fontId="4" fillId="11" borderId="7" xfId="2" applyFont="1" applyFill="1" applyBorder="1" applyAlignment="1" applyProtection="1">
      <alignment vertical="center"/>
      <protection locked="0"/>
    </xf>
    <xf numFmtId="0" fontId="4" fillId="12" borderId="7" xfId="3" applyFont="1" applyFill="1" applyBorder="1" applyAlignment="1">
      <alignment vertical="center"/>
    </xf>
    <xf numFmtId="0" fontId="4" fillId="12" borderId="7" xfId="3" applyFont="1" applyFill="1" applyBorder="1" applyAlignment="1"/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1" fontId="9" fillId="12" borderId="0" xfId="0" applyNumberFormat="1" applyFont="1" applyFill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1" fontId="9" fillId="15" borderId="0" xfId="0" applyNumberFormat="1" applyFont="1" applyFill="1" applyAlignment="1">
      <alignment horizontal="center"/>
    </xf>
    <xf numFmtId="0" fontId="9" fillId="15" borderId="0" xfId="0" applyFont="1" applyFill="1" applyAlignment="1">
      <alignment horizontal="center"/>
    </xf>
    <xf numFmtId="2" fontId="0" fillId="0" borderId="0" xfId="0" applyNumberFormat="1"/>
    <xf numFmtId="164" fontId="2" fillId="0" borderId="0" xfId="0" applyNumberFormat="1" applyFont="1" applyAlignment="1" applyProtection="1">
      <alignment horizontal="left" vertical="center"/>
      <protection locked="0"/>
    </xf>
    <xf numFmtId="164" fontId="4" fillId="0" borderId="0" xfId="2" applyNumberFormat="1" applyFont="1" applyBorder="1" applyAlignment="1" applyProtection="1">
      <alignment horizontal="center" vertical="center"/>
      <protection locked="0"/>
    </xf>
    <xf numFmtId="164" fontId="4" fillId="0" borderId="0" xfId="4" applyNumberFormat="1" applyFont="1" applyFill="1" applyBorder="1" applyAlignment="1" applyProtection="1">
      <alignment horizontal="center" vertical="center"/>
      <protection locked="0"/>
    </xf>
    <xf numFmtId="164" fontId="2" fillId="0" borderId="0" xfId="4" applyNumberFormat="1" applyFont="1" applyFill="1" applyBorder="1" applyAlignment="1" applyProtection="1">
      <alignment horizontal="center" wrapText="1"/>
      <protection locked="0"/>
    </xf>
    <xf numFmtId="167" fontId="4" fillId="12" borderId="7" xfId="4" applyNumberFormat="1" applyFont="1" applyFill="1" applyBorder="1" applyAlignment="1">
      <alignment horizontal="center" wrapText="1"/>
    </xf>
    <xf numFmtId="168" fontId="2" fillId="0" borderId="0" xfId="4" applyNumberFormat="1" applyFont="1" applyFill="1" applyBorder="1" applyAlignment="1" applyProtection="1">
      <alignment horizontal="center" wrapText="1"/>
      <protection locked="0"/>
    </xf>
    <xf numFmtId="1" fontId="4" fillId="12" borderId="7" xfId="4" applyNumberFormat="1" applyFont="1" applyFill="1" applyBorder="1" applyAlignment="1">
      <alignment horizontal="center" wrapText="1"/>
    </xf>
    <xf numFmtId="168" fontId="2" fillId="0" borderId="12" xfId="4" applyNumberFormat="1" applyFont="1" applyFill="1" applyBorder="1" applyAlignment="1" applyProtection="1">
      <alignment horizontal="center" wrapText="1"/>
      <protection locked="0"/>
    </xf>
    <xf numFmtId="165" fontId="4" fillId="12" borderId="7" xfId="4" applyNumberFormat="1" applyFont="1" applyFill="1" applyBorder="1" applyAlignment="1">
      <alignment horizontal="center" wrapText="1"/>
    </xf>
    <xf numFmtId="164" fontId="4" fillId="0" borderId="0" xfId="0" applyNumberFormat="1" applyFont="1" applyAlignment="1" applyProtection="1">
      <alignment horizontal="center" vertical="center"/>
      <protection locked="0"/>
    </xf>
    <xf numFmtId="1" fontId="4" fillId="7" borderId="0" xfId="0" applyNumberFormat="1" applyFont="1" applyFill="1" applyAlignment="1">
      <alignment horizontal="center" vertical="center"/>
    </xf>
    <xf numFmtId="165" fontId="9" fillId="0" borderId="0" xfId="0" applyNumberFormat="1" applyFont="1" applyAlignment="1">
      <alignment horizontal="center"/>
    </xf>
    <xf numFmtId="164" fontId="8" fillId="0" borderId="0" xfId="0" applyNumberFormat="1" applyFont="1" applyAlignment="1" applyProtection="1">
      <alignment horizontal="center"/>
      <protection locked="0"/>
    </xf>
    <xf numFmtId="165" fontId="8" fillId="0" borderId="0" xfId="1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165" fontId="8" fillId="0" borderId="0" xfId="0" applyNumberFormat="1" applyFont="1" applyAlignment="1" applyProtection="1">
      <alignment horizontal="center"/>
      <protection locked="0"/>
    </xf>
    <xf numFmtId="165" fontId="9" fillId="0" borderId="0" xfId="0" applyNumberFormat="1" applyFont="1" applyAlignment="1">
      <alignment horizontal="center" vertical="center"/>
    </xf>
    <xf numFmtId="1" fontId="8" fillId="0" borderId="0" xfId="1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64" fontId="8" fillId="0" borderId="6" xfId="0" applyNumberFormat="1" applyFont="1" applyBorder="1" applyAlignment="1" applyProtection="1">
      <alignment horizontal="center"/>
      <protection locked="0"/>
    </xf>
    <xf numFmtId="1" fontId="4" fillId="13" borderId="0" xfId="0" applyNumberFormat="1" applyFont="1" applyFill="1" applyAlignment="1">
      <alignment horizontal="center" vertical="center"/>
    </xf>
    <xf numFmtId="49" fontId="2" fillId="0" borderId="0" xfId="6" applyNumberFormat="1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67" fontId="4" fillId="11" borderId="7" xfId="4" applyNumberFormat="1" applyFont="1" applyFill="1" applyBorder="1" applyAlignment="1" applyProtection="1">
      <alignment horizontal="center" wrapText="1"/>
      <protection locked="0"/>
    </xf>
    <xf numFmtId="0" fontId="8" fillId="0" borderId="0" xfId="1" applyFont="1" applyFill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13" borderId="0" xfId="0" applyFont="1" applyFill="1" applyAlignment="1" applyProtection="1">
      <alignment horizontal="center"/>
      <protection locked="0"/>
    </xf>
    <xf numFmtId="165" fontId="4" fillId="10" borderId="7" xfId="3" applyNumberFormat="1" applyFont="1" applyFill="1" applyBorder="1" applyAlignment="1">
      <alignment horizontal="center" vertical="center"/>
    </xf>
    <xf numFmtId="165" fontId="4" fillId="10" borderId="7" xfId="4" applyNumberFormat="1" applyFont="1" applyFill="1" applyBorder="1" applyAlignment="1" applyProtection="1">
      <alignment horizontal="center" vertical="center" wrapText="1"/>
      <protection locked="0"/>
    </xf>
    <xf numFmtId="165" fontId="4" fillId="10" borderId="7" xfId="4" applyNumberFormat="1" applyFont="1" applyFill="1" applyBorder="1" applyAlignment="1">
      <alignment horizontal="center" wrapText="1"/>
    </xf>
    <xf numFmtId="167" fontId="4" fillId="10" borderId="7" xfId="4" applyNumberFormat="1" applyFont="1" applyFill="1" applyBorder="1" applyAlignment="1">
      <alignment horizontal="center" wrapText="1"/>
    </xf>
    <xf numFmtId="1" fontId="9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165" fontId="9" fillId="16" borderId="0" xfId="0" applyNumberFormat="1" applyFont="1" applyFill="1" applyAlignment="1">
      <alignment horizontal="center"/>
    </xf>
    <xf numFmtId="1" fontId="9" fillId="16" borderId="0" xfId="0" applyNumberFormat="1" applyFont="1" applyFill="1" applyAlignment="1">
      <alignment horizontal="center"/>
    </xf>
    <xf numFmtId="1" fontId="4" fillId="15" borderId="0" xfId="0" applyNumberFormat="1" applyFont="1" applyFill="1" applyAlignment="1">
      <alignment horizontal="center" vertical="center"/>
    </xf>
    <xf numFmtId="165" fontId="4" fillId="15" borderId="0" xfId="0" applyNumberFormat="1" applyFont="1" applyFill="1" applyAlignment="1">
      <alignment horizontal="center" vertical="center"/>
    </xf>
    <xf numFmtId="0" fontId="4" fillId="15" borderId="0" xfId="0" applyFont="1" applyFill="1" applyAlignment="1" applyProtection="1">
      <alignment horizontal="center" vertical="center"/>
      <protection locked="0"/>
    </xf>
    <xf numFmtId="1" fontId="8" fillId="15" borderId="0" xfId="0" applyNumberFormat="1" applyFont="1" applyFill="1" applyAlignment="1" applyProtection="1">
      <alignment horizontal="center"/>
      <protection locked="0"/>
    </xf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7" borderId="6" xfId="0" applyFont="1" applyFill="1" applyBorder="1" applyAlignment="1" applyProtection="1">
      <alignment horizontal="center"/>
      <protection locked="0"/>
    </xf>
    <xf numFmtId="0" fontId="4" fillId="8" borderId="10" xfId="3" applyFont="1" applyFill="1" applyBorder="1" applyAlignment="1">
      <alignment horizontal="center" vertical="center"/>
    </xf>
    <xf numFmtId="0" fontId="4" fillId="8" borderId="7" xfId="3" applyFont="1" applyFill="1" applyBorder="1" applyAlignment="1">
      <alignment horizontal="center" vertical="center"/>
    </xf>
    <xf numFmtId="0" fontId="4" fillId="9" borderId="8" xfId="3" applyFont="1" applyFill="1" applyBorder="1" applyAlignment="1">
      <alignment horizontal="center" vertical="center"/>
    </xf>
    <xf numFmtId="0" fontId="4" fillId="9" borderId="7" xfId="3" applyFont="1" applyFill="1" applyBorder="1" applyAlignment="1">
      <alignment horizontal="center" vertical="center"/>
    </xf>
    <xf numFmtId="0" fontId="4" fillId="10" borderId="7" xfId="3" applyFont="1" applyFill="1" applyBorder="1" applyAlignment="1">
      <alignment horizontal="center" vertical="center"/>
    </xf>
    <xf numFmtId="0" fontId="4" fillId="11" borderId="7" xfId="2" applyFont="1" applyFill="1" applyBorder="1" applyAlignment="1" applyProtection="1">
      <alignment horizontal="center" vertical="center"/>
      <protection locked="0"/>
    </xf>
    <xf numFmtId="0" fontId="4" fillId="12" borderId="7" xfId="3" applyFont="1" applyFill="1" applyBorder="1" applyAlignment="1">
      <alignment horizontal="center"/>
    </xf>
    <xf numFmtId="0" fontId="4" fillId="12" borderId="9" xfId="3" applyFont="1" applyFill="1" applyBorder="1" applyAlignment="1">
      <alignment horizontal="center"/>
    </xf>
    <xf numFmtId="0" fontId="4" fillId="12" borderId="10" xfId="3" applyFont="1" applyFill="1" applyBorder="1" applyAlignment="1">
      <alignment horizontal="center"/>
    </xf>
    <xf numFmtId="0" fontId="2" fillId="14" borderId="5" xfId="0" applyFont="1" applyFill="1" applyBorder="1" applyAlignment="1" applyProtection="1">
      <alignment horizontal="center"/>
      <protection locked="0"/>
    </xf>
    <xf numFmtId="0" fontId="4" fillId="12" borderId="7" xfId="3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7" borderId="7" xfId="0" applyFont="1" applyFill="1" applyBorder="1" applyAlignment="1" applyProtection="1">
      <alignment horizontal="center"/>
      <protection locked="0"/>
    </xf>
    <xf numFmtId="0" fontId="2" fillId="14" borderId="7" xfId="0" applyFont="1" applyFill="1" applyBorder="1" applyAlignment="1" applyProtection="1">
      <alignment horizontal="center"/>
      <protection locked="0"/>
    </xf>
    <xf numFmtId="0" fontId="2" fillId="7" borderId="9" xfId="0" applyFont="1" applyFill="1" applyBorder="1" applyAlignment="1" applyProtection="1">
      <alignment horizontal="center"/>
      <protection locked="0"/>
    </xf>
    <xf numFmtId="0" fontId="2" fillId="7" borderId="10" xfId="0" applyFont="1" applyFill="1" applyBorder="1" applyAlignment="1" applyProtection="1">
      <alignment horizontal="center"/>
      <protection locked="0"/>
    </xf>
    <xf numFmtId="0" fontId="2" fillId="14" borderId="9" xfId="0" applyFont="1" applyFill="1" applyBorder="1" applyAlignment="1" applyProtection="1">
      <alignment horizontal="center"/>
      <protection locked="0"/>
    </xf>
    <xf numFmtId="0" fontId="2" fillId="14" borderId="11" xfId="0" applyFont="1" applyFill="1" applyBorder="1" applyAlignment="1" applyProtection="1">
      <alignment horizontal="center"/>
      <protection locked="0"/>
    </xf>
    <xf numFmtId="0" fontId="2" fillId="14" borderId="10" xfId="0" applyFont="1" applyFill="1" applyBorder="1" applyAlignment="1" applyProtection="1">
      <alignment horizontal="center"/>
      <protection locked="0"/>
    </xf>
    <xf numFmtId="1" fontId="4" fillId="0" borderId="6" xfId="0" applyNumberFormat="1" applyFont="1" applyBorder="1" applyAlignment="1">
      <alignment horizontal="center" vertical="center"/>
    </xf>
    <xf numFmtId="0" fontId="8" fillId="7" borderId="0" xfId="1" applyFont="1" applyFill="1" applyBorder="1" applyAlignment="1" applyProtection="1">
      <alignment horizontal="center"/>
      <protection locked="0"/>
    </xf>
    <xf numFmtId="0" fontId="4" fillId="15" borderId="0" xfId="1" applyFont="1" applyFill="1" applyBorder="1" applyAlignment="1" applyProtection="1">
      <alignment horizontal="center" vertical="center"/>
      <protection locked="0"/>
    </xf>
  </cellXfs>
  <cellStyles count="7">
    <cellStyle name="20% - Accent1 2" xfId="4" xr:uid="{2C36D51E-1ED9-437F-A396-B9197F96FA07}"/>
    <cellStyle name="20% - Accent6" xfId="1" builtinId="50"/>
    <cellStyle name="Heading 2 2" xfId="2" xr:uid="{493045B6-BDCF-458B-95D0-D56CC862D93C}"/>
    <cellStyle name="Heading 3 2" xfId="3" xr:uid="{72091571-2207-4386-B918-921B894B26B5}"/>
    <cellStyle name="Normal" xfId="0" builtinId="0"/>
    <cellStyle name="Normal 2" xfId="5" xr:uid="{8E12A9AC-AAFD-4B5E-9B21-B620E79B2811}"/>
    <cellStyle name="Normal 5" xfId="6" xr:uid="{50329E64-3154-45B5-A6CD-D3FA231E9575}"/>
  </cellStyles>
  <dxfs count="9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13"/>
        </patternFill>
      </fill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87256-F391-4AA0-A40A-E297C08B7665}">
  <dimension ref="A1:AG441"/>
  <sheetViews>
    <sheetView workbookViewId="0"/>
  </sheetViews>
  <sheetFormatPr defaultRowHeight="15" x14ac:dyDescent="0.25"/>
  <cols>
    <col min="1" max="1" width="12.7109375" bestFit="1" customWidth="1"/>
    <col min="2" max="2" width="7.42578125" bestFit="1" customWidth="1"/>
    <col min="3" max="3" width="11.28515625" style="5" bestFit="1" customWidth="1"/>
    <col min="4" max="4" width="7.42578125" bestFit="1" customWidth="1"/>
    <col min="5" max="5" width="15" bestFit="1" customWidth="1"/>
    <col min="6" max="6" width="7.5703125" bestFit="1" customWidth="1"/>
    <col min="7" max="7" width="11.28515625" bestFit="1" customWidth="1"/>
    <col min="8" max="8" width="7.5703125" bestFit="1" customWidth="1"/>
    <col min="9" max="9" width="11.28515625" bestFit="1" customWidth="1"/>
    <col min="10" max="10" width="7.5703125" bestFit="1" customWidth="1"/>
    <col min="11" max="11" width="15" bestFit="1" customWidth="1"/>
    <col min="13" max="13" width="11.28515625" bestFit="1" customWidth="1"/>
    <col min="14" max="14" width="7.5703125" bestFit="1" customWidth="1"/>
    <col min="15" max="15" width="10.85546875" bestFit="1" customWidth="1"/>
    <col min="17" max="17" width="11.28515625" bestFit="1" customWidth="1"/>
    <col min="19" max="19" width="10.85546875" bestFit="1" customWidth="1"/>
    <col min="21" max="21" width="10.7109375" bestFit="1" customWidth="1"/>
    <col min="23" max="23" width="10.7109375" bestFit="1" customWidth="1"/>
    <col min="25" max="25" width="8.5703125" bestFit="1" customWidth="1"/>
    <col min="28" max="28" width="9.42578125" customWidth="1"/>
    <col min="29" max="29" width="8.5703125" bestFit="1" customWidth="1"/>
    <col min="31" max="31" width="8.5703125" bestFit="1" customWidth="1"/>
  </cols>
  <sheetData>
    <row r="1" spans="1:33" ht="16.5" thickTop="1" x14ac:dyDescent="0.25">
      <c r="A1" s="36"/>
      <c r="B1" s="97" t="s">
        <v>0</v>
      </c>
      <c r="C1" s="98"/>
      <c r="D1" s="99" t="s">
        <v>1</v>
      </c>
      <c r="E1" s="100"/>
      <c r="F1" s="101" t="s">
        <v>2</v>
      </c>
      <c r="G1" s="102"/>
      <c r="H1" s="102"/>
      <c r="I1" s="102"/>
      <c r="J1" s="102"/>
      <c r="K1" s="102"/>
      <c r="L1" s="103" t="s">
        <v>3</v>
      </c>
      <c r="M1" s="103"/>
      <c r="N1" s="103"/>
      <c r="O1" s="103"/>
      <c r="P1" s="103"/>
      <c r="Q1" s="103"/>
      <c r="R1" s="103"/>
      <c r="S1" s="103"/>
      <c r="T1" s="113" t="s">
        <v>4</v>
      </c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</row>
    <row r="2" spans="1:33" ht="15.75" x14ac:dyDescent="0.25">
      <c r="A2" s="37" t="s">
        <v>5</v>
      </c>
      <c r="B2" s="104" t="s">
        <v>6</v>
      </c>
      <c r="C2" s="105"/>
      <c r="D2" s="106" t="s">
        <v>7</v>
      </c>
      <c r="E2" s="107"/>
      <c r="F2" s="108" t="s">
        <v>8</v>
      </c>
      <c r="G2" s="108"/>
      <c r="H2" s="108" t="s">
        <v>9</v>
      </c>
      <c r="I2" s="108"/>
      <c r="J2" s="108" t="s">
        <v>10</v>
      </c>
      <c r="K2" s="108"/>
      <c r="L2" s="109" t="s">
        <v>11</v>
      </c>
      <c r="M2" s="109"/>
      <c r="N2" s="109" t="s">
        <v>12</v>
      </c>
      <c r="O2" s="109"/>
      <c r="P2" s="109" t="s">
        <v>13</v>
      </c>
      <c r="Q2" s="109"/>
      <c r="R2" s="109" t="s">
        <v>14</v>
      </c>
      <c r="S2" s="109"/>
      <c r="T2" s="114" t="s">
        <v>15</v>
      </c>
      <c r="U2" s="114"/>
      <c r="V2" s="114" t="s">
        <v>16</v>
      </c>
      <c r="W2" s="114"/>
      <c r="X2" s="114" t="s">
        <v>17</v>
      </c>
      <c r="Y2" s="114"/>
      <c r="Z2" s="114" t="s">
        <v>18</v>
      </c>
      <c r="AA2" s="114"/>
      <c r="AB2" s="110" t="s">
        <v>19</v>
      </c>
      <c r="AC2" s="110"/>
      <c r="AD2" s="110" t="s">
        <v>20</v>
      </c>
      <c r="AE2" s="110"/>
      <c r="AF2" s="111" t="s">
        <v>21</v>
      </c>
      <c r="AG2" s="112"/>
    </row>
    <row r="3" spans="1:33" ht="63" x14ac:dyDescent="0.25">
      <c r="A3" s="36"/>
      <c r="B3" s="38" t="s">
        <v>22</v>
      </c>
      <c r="C3" s="25" t="s">
        <v>23</v>
      </c>
      <c r="D3" s="26" t="s">
        <v>22</v>
      </c>
      <c r="E3" s="27" t="s">
        <v>23</v>
      </c>
      <c r="F3" s="3" t="s">
        <v>22</v>
      </c>
      <c r="G3" s="4" t="s">
        <v>23</v>
      </c>
      <c r="H3" s="3" t="s">
        <v>22</v>
      </c>
      <c r="I3" s="4" t="s">
        <v>23</v>
      </c>
      <c r="J3" s="3" t="s">
        <v>22</v>
      </c>
      <c r="K3" s="4" t="s">
        <v>23</v>
      </c>
      <c r="L3" s="28" t="s">
        <v>22</v>
      </c>
      <c r="M3" s="29" t="s">
        <v>23</v>
      </c>
      <c r="N3" s="28" t="s">
        <v>22</v>
      </c>
      <c r="O3" s="29" t="s">
        <v>23</v>
      </c>
      <c r="P3" s="28" t="s">
        <v>22</v>
      </c>
      <c r="Q3" s="29" t="s">
        <v>23</v>
      </c>
      <c r="R3" s="28" t="s">
        <v>22</v>
      </c>
      <c r="S3" s="29" t="s">
        <v>23</v>
      </c>
      <c r="T3" s="30" t="s">
        <v>22</v>
      </c>
      <c r="U3" s="31" t="s">
        <v>23</v>
      </c>
      <c r="V3" s="30" t="s">
        <v>22</v>
      </c>
      <c r="W3" s="31" t="s">
        <v>23</v>
      </c>
      <c r="X3" s="30" t="s">
        <v>22</v>
      </c>
      <c r="Y3" s="31" t="s">
        <v>23</v>
      </c>
      <c r="Z3" s="30" t="s">
        <v>22</v>
      </c>
      <c r="AA3" s="31" t="s">
        <v>23</v>
      </c>
      <c r="AB3" s="30" t="s">
        <v>22</v>
      </c>
      <c r="AC3" s="31" t="s">
        <v>23</v>
      </c>
      <c r="AD3" s="30" t="s">
        <v>22</v>
      </c>
      <c r="AE3" s="31" t="s">
        <v>23</v>
      </c>
      <c r="AF3" s="30" t="s">
        <v>22</v>
      </c>
      <c r="AG3" s="31" t="s">
        <v>23</v>
      </c>
    </row>
    <row r="4" spans="1:33" ht="15.75" x14ac:dyDescent="0.25">
      <c r="A4" s="39">
        <v>31959</v>
      </c>
    </row>
    <row r="5" spans="1:33" ht="15.75" x14ac:dyDescent="0.25">
      <c r="A5" s="39">
        <v>31990</v>
      </c>
    </row>
    <row r="6" spans="1:33" ht="15.75" x14ac:dyDescent="0.25">
      <c r="A6" s="39">
        <v>32021</v>
      </c>
      <c r="W6" s="10">
        <v>152.77777777777777</v>
      </c>
    </row>
    <row r="7" spans="1:33" ht="15.75" x14ac:dyDescent="0.25">
      <c r="A7" s="39">
        <v>32051</v>
      </c>
      <c r="W7" s="10">
        <v>170.25089605734766</v>
      </c>
    </row>
    <row r="8" spans="1:33" ht="15.75" x14ac:dyDescent="0.25">
      <c r="A8" s="39">
        <v>32082</v>
      </c>
      <c r="W8" s="10">
        <v>141.20370370370372</v>
      </c>
    </row>
    <row r="9" spans="1:33" ht="15.75" x14ac:dyDescent="0.25">
      <c r="A9" s="39">
        <v>32112</v>
      </c>
      <c r="W9" s="10">
        <v>138.88888888888889</v>
      </c>
    </row>
    <row r="10" spans="1:33" ht="15.75" x14ac:dyDescent="0.25">
      <c r="A10" s="39">
        <v>32143</v>
      </c>
      <c r="W10" s="10"/>
    </row>
    <row r="11" spans="1:33" ht="15.75" x14ac:dyDescent="0.25">
      <c r="A11" s="39">
        <v>32174</v>
      </c>
      <c r="W11" s="10">
        <v>134.09961685823754</v>
      </c>
    </row>
    <row r="12" spans="1:33" ht="15.75" x14ac:dyDescent="0.25">
      <c r="A12" s="39">
        <v>32203</v>
      </c>
      <c r="W12" s="10">
        <v>734.7670250896058</v>
      </c>
    </row>
    <row r="13" spans="1:33" ht="15.75" x14ac:dyDescent="0.25">
      <c r="A13" s="39">
        <v>32234</v>
      </c>
      <c r="W13" s="10">
        <v>175.92592592592595</v>
      </c>
    </row>
    <row r="14" spans="1:33" ht="15.75" x14ac:dyDescent="0.25">
      <c r="A14" s="39">
        <v>32264</v>
      </c>
      <c r="W14" s="10">
        <v>170.25089605734766</v>
      </c>
    </row>
    <row r="15" spans="1:33" ht="15.75" x14ac:dyDescent="0.25">
      <c r="A15" s="39">
        <v>32295</v>
      </c>
      <c r="W15" s="10">
        <v>175.92592592592595</v>
      </c>
    </row>
    <row r="16" spans="1:33" ht="15.75" x14ac:dyDescent="0.25">
      <c r="A16" s="39">
        <v>32325</v>
      </c>
      <c r="W16" s="10">
        <v>170.25089605734766</v>
      </c>
    </row>
    <row r="17" spans="1:23" ht="15.75" x14ac:dyDescent="0.25">
      <c r="A17" s="39">
        <v>32356</v>
      </c>
      <c r="W17" s="10">
        <v>163.53046594982078</v>
      </c>
    </row>
    <row r="18" spans="1:23" ht="15.75" x14ac:dyDescent="0.25">
      <c r="A18" s="39">
        <v>32387</v>
      </c>
    </row>
    <row r="19" spans="1:23" ht="15.75" x14ac:dyDescent="0.25">
      <c r="A19" s="39">
        <v>32417</v>
      </c>
    </row>
    <row r="20" spans="1:23" ht="15.75" x14ac:dyDescent="0.25">
      <c r="A20" s="39">
        <v>32448</v>
      </c>
    </row>
    <row r="21" spans="1:23" ht="15.75" x14ac:dyDescent="0.25">
      <c r="A21" s="39">
        <v>32478</v>
      </c>
    </row>
    <row r="22" spans="1:23" ht="15.75" x14ac:dyDescent="0.25">
      <c r="A22" s="39">
        <v>32509</v>
      </c>
    </row>
    <row r="23" spans="1:23" ht="15.75" x14ac:dyDescent="0.25">
      <c r="A23" s="39">
        <v>32540</v>
      </c>
    </row>
    <row r="24" spans="1:23" ht="15.75" x14ac:dyDescent="0.25">
      <c r="A24" s="39">
        <v>32568</v>
      </c>
    </row>
    <row r="25" spans="1:23" ht="15.75" x14ac:dyDescent="0.25">
      <c r="A25" s="39">
        <v>32599</v>
      </c>
    </row>
    <row r="26" spans="1:23" ht="15.75" x14ac:dyDescent="0.25">
      <c r="A26" s="39">
        <v>32629</v>
      </c>
    </row>
    <row r="27" spans="1:23" ht="15.75" x14ac:dyDescent="0.25">
      <c r="A27" s="39">
        <v>32660</v>
      </c>
    </row>
    <row r="28" spans="1:23" ht="15.75" x14ac:dyDescent="0.25">
      <c r="A28" s="39">
        <v>32690</v>
      </c>
    </row>
    <row r="29" spans="1:23" ht="15.75" x14ac:dyDescent="0.25">
      <c r="A29" s="39">
        <v>32721</v>
      </c>
    </row>
    <row r="30" spans="1:23" ht="15.75" x14ac:dyDescent="0.25">
      <c r="A30" s="39">
        <v>32752</v>
      </c>
    </row>
    <row r="31" spans="1:23" ht="15.75" x14ac:dyDescent="0.25">
      <c r="A31" s="39">
        <v>32782</v>
      </c>
    </row>
    <row r="32" spans="1:23" ht="15.75" x14ac:dyDescent="0.25">
      <c r="A32" s="39">
        <v>32813</v>
      </c>
    </row>
    <row r="33" spans="1:19" ht="15.75" x14ac:dyDescent="0.25">
      <c r="A33" s="39">
        <v>32843</v>
      </c>
    </row>
    <row r="34" spans="1:19" ht="15.75" x14ac:dyDescent="0.25">
      <c r="A34" s="39">
        <v>32874</v>
      </c>
    </row>
    <row r="35" spans="1:19" ht="15.75" x14ac:dyDescent="0.25">
      <c r="A35" s="39">
        <v>32905</v>
      </c>
    </row>
    <row r="36" spans="1:19" ht="15.75" x14ac:dyDescent="0.25">
      <c r="A36" s="39">
        <v>32933</v>
      </c>
    </row>
    <row r="37" spans="1:19" ht="15.75" x14ac:dyDescent="0.25">
      <c r="A37" s="39">
        <v>32964</v>
      </c>
    </row>
    <row r="38" spans="1:19" ht="15.75" x14ac:dyDescent="0.25">
      <c r="A38" s="39">
        <v>32994</v>
      </c>
    </row>
    <row r="39" spans="1:19" ht="15.75" x14ac:dyDescent="0.25">
      <c r="A39" s="39">
        <v>33025</v>
      </c>
    </row>
    <row r="40" spans="1:19" ht="15.75" x14ac:dyDescent="0.25">
      <c r="A40" s="39">
        <v>33055</v>
      </c>
    </row>
    <row r="41" spans="1:19" ht="15.75" x14ac:dyDescent="0.25">
      <c r="A41" s="39">
        <v>33086</v>
      </c>
    </row>
    <row r="42" spans="1:19" ht="15.75" x14ac:dyDescent="0.25">
      <c r="A42" s="39">
        <v>33117</v>
      </c>
    </row>
    <row r="43" spans="1:19" ht="15.75" x14ac:dyDescent="0.25">
      <c r="A43" s="39">
        <v>33147</v>
      </c>
    </row>
    <row r="44" spans="1:19" ht="15.75" x14ac:dyDescent="0.25">
      <c r="A44" s="39">
        <v>33178</v>
      </c>
    </row>
    <row r="45" spans="1:19" ht="15.75" x14ac:dyDescent="0.25">
      <c r="A45" s="39">
        <v>33208</v>
      </c>
      <c r="S45" s="6">
        <v>658.60215053763443</v>
      </c>
    </row>
    <row r="46" spans="1:19" ht="15.75" x14ac:dyDescent="0.25">
      <c r="A46" s="39">
        <v>33239</v>
      </c>
      <c r="S46" s="6">
        <v>665.32258064516122</v>
      </c>
    </row>
    <row r="47" spans="1:19" ht="15.75" x14ac:dyDescent="0.25">
      <c r="A47" s="39">
        <v>33270</v>
      </c>
      <c r="S47" s="6">
        <v>689.48412698412699</v>
      </c>
    </row>
    <row r="48" spans="1:19" ht="15.75" x14ac:dyDescent="0.25">
      <c r="A48" s="39">
        <v>33298</v>
      </c>
      <c r="S48" s="6">
        <v>645.16129032258073</v>
      </c>
    </row>
    <row r="49" spans="1:19" ht="15.75" x14ac:dyDescent="0.25">
      <c r="A49" s="39">
        <v>33329</v>
      </c>
      <c r="S49" s="6">
        <v>678.24074074074076</v>
      </c>
    </row>
    <row r="50" spans="1:19" ht="15.75" x14ac:dyDescent="0.25">
      <c r="A50" s="39">
        <v>33359</v>
      </c>
      <c r="S50" s="6">
        <v>754.92831541218629</v>
      </c>
    </row>
    <row r="51" spans="1:19" ht="15.75" x14ac:dyDescent="0.25">
      <c r="A51" s="39">
        <v>33390</v>
      </c>
      <c r="S51" s="6">
        <v>664.35185185185185</v>
      </c>
    </row>
    <row r="52" spans="1:19" ht="15.75" x14ac:dyDescent="0.25">
      <c r="A52" s="39">
        <v>33420</v>
      </c>
      <c r="S52" s="6">
        <v>716.84587813620078</v>
      </c>
    </row>
    <row r="53" spans="1:19" ht="15.75" x14ac:dyDescent="0.25">
      <c r="A53" s="39">
        <v>33451</v>
      </c>
      <c r="S53" s="6">
        <v>707.88530465949816</v>
      </c>
    </row>
    <row r="54" spans="1:19" ht="15.75" x14ac:dyDescent="0.25">
      <c r="A54" s="39">
        <v>33482</v>
      </c>
      <c r="S54" s="6">
        <v>592.59259259259261</v>
      </c>
    </row>
    <row r="55" spans="1:19" ht="15.75" x14ac:dyDescent="0.25">
      <c r="A55" s="39">
        <v>33512</v>
      </c>
      <c r="S55" s="6">
        <v>795.25089605734763</v>
      </c>
    </row>
    <row r="56" spans="1:19" ht="15.75" x14ac:dyDescent="0.25">
      <c r="A56" s="39">
        <v>33543</v>
      </c>
      <c r="S56" s="6">
        <v>627.31481481481489</v>
      </c>
    </row>
    <row r="57" spans="1:19" ht="15.75" x14ac:dyDescent="0.25">
      <c r="A57" s="39">
        <v>33573</v>
      </c>
      <c r="S57" s="6">
        <v>627.2401433691756</v>
      </c>
    </row>
    <row r="58" spans="1:19" ht="15.75" x14ac:dyDescent="0.25">
      <c r="A58" s="39">
        <v>33604</v>
      </c>
      <c r="S58" s="6">
        <v>674.95519713261649</v>
      </c>
    </row>
    <row r="59" spans="1:19" ht="15.75" x14ac:dyDescent="0.25">
      <c r="A59" s="39">
        <v>33635</v>
      </c>
      <c r="S59" s="6">
        <v>649.9042145593869</v>
      </c>
    </row>
    <row r="60" spans="1:19" ht="15.75" x14ac:dyDescent="0.25">
      <c r="A60" s="39">
        <v>33664</v>
      </c>
      <c r="S60" s="6">
        <v>644.93727598566306</v>
      </c>
    </row>
    <row r="61" spans="1:19" ht="15.75" x14ac:dyDescent="0.25">
      <c r="A61" s="39">
        <v>33695</v>
      </c>
      <c r="S61" s="6">
        <v>645.83333333333337</v>
      </c>
    </row>
    <row r="62" spans="1:19" ht="15.75" x14ac:dyDescent="0.25">
      <c r="A62" s="39">
        <v>33725</v>
      </c>
      <c r="S62" s="6">
        <v>605.95878136200713</v>
      </c>
    </row>
    <row r="63" spans="1:19" ht="15.75" x14ac:dyDescent="0.25">
      <c r="A63" s="39">
        <v>33756</v>
      </c>
      <c r="S63" s="6">
        <v>658.10185185185185</v>
      </c>
    </row>
    <row r="64" spans="1:19" ht="15.75" x14ac:dyDescent="0.25">
      <c r="A64" s="39">
        <v>33786</v>
      </c>
      <c r="S64" s="6">
        <v>623.87992831541226</v>
      </c>
    </row>
    <row r="65" spans="1:27" ht="15.75" x14ac:dyDescent="0.25">
      <c r="A65" s="39">
        <v>33817</v>
      </c>
      <c r="S65" s="6">
        <v>601.47849462365593</v>
      </c>
    </row>
    <row r="66" spans="1:27" ht="15.75" x14ac:dyDescent="0.25">
      <c r="A66" s="39">
        <v>33848</v>
      </c>
      <c r="S66" s="6">
        <v>601.38888888888891</v>
      </c>
    </row>
    <row r="67" spans="1:27" ht="15.75" x14ac:dyDescent="0.25">
      <c r="A67" s="39">
        <v>33878</v>
      </c>
      <c r="S67" s="6">
        <v>699.82078853046585</v>
      </c>
    </row>
    <row r="68" spans="1:27" ht="15.75" x14ac:dyDescent="0.25">
      <c r="A68" s="39">
        <v>33909</v>
      </c>
      <c r="S68" s="6">
        <v>700</v>
      </c>
    </row>
    <row r="69" spans="1:27" ht="15.75" x14ac:dyDescent="0.25">
      <c r="A69" s="39">
        <v>33939</v>
      </c>
      <c r="S69" s="6">
        <v>699.14874551971332</v>
      </c>
    </row>
    <row r="70" spans="1:27" ht="15.75" x14ac:dyDescent="0.25">
      <c r="A70" s="39">
        <v>33970</v>
      </c>
      <c r="S70" s="6">
        <v>720.00448028673839</v>
      </c>
    </row>
    <row r="71" spans="1:27" ht="15.75" x14ac:dyDescent="0.25">
      <c r="A71" s="39">
        <v>34001</v>
      </c>
      <c r="S71" s="6">
        <v>786.06150793650784</v>
      </c>
    </row>
    <row r="72" spans="1:27" ht="15.75" x14ac:dyDescent="0.25">
      <c r="A72" s="39">
        <v>34029</v>
      </c>
      <c r="S72" s="6">
        <v>696.77419354838707</v>
      </c>
    </row>
    <row r="73" spans="1:27" ht="15.75" x14ac:dyDescent="0.25">
      <c r="A73" s="39">
        <v>34060</v>
      </c>
      <c r="S73" s="6">
        <v>659.07407407407413</v>
      </c>
      <c r="AA73" s="33">
        <v>215.04629629629633</v>
      </c>
    </row>
    <row r="74" spans="1:27" ht="15.75" x14ac:dyDescent="0.25">
      <c r="A74" s="39">
        <v>34090</v>
      </c>
      <c r="K74" s="7">
        <v>391.53225806451616</v>
      </c>
      <c r="S74" s="6">
        <v>544.22043010752679</v>
      </c>
      <c r="AA74" s="33">
        <v>114.89695340501792</v>
      </c>
    </row>
    <row r="75" spans="1:27" ht="15.75" x14ac:dyDescent="0.25">
      <c r="A75" s="39">
        <v>34121</v>
      </c>
      <c r="K75" s="7">
        <v>590.57870370370381</v>
      </c>
      <c r="S75" s="6">
        <v>1013.125</v>
      </c>
      <c r="AA75" s="33">
        <v>260.69444444444446</v>
      </c>
    </row>
    <row r="76" spans="1:27" ht="15.75" x14ac:dyDescent="0.25">
      <c r="A76" s="39">
        <v>34151</v>
      </c>
      <c r="K76" s="7">
        <v>463.93369175627237</v>
      </c>
      <c r="S76" s="6">
        <v>722.24462365591398</v>
      </c>
      <c r="AA76" s="33">
        <v>195.56451612903223</v>
      </c>
    </row>
    <row r="77" spans="1:27" ht="15.75" x14ac:dyDescent="0.25">
      <c r="A77" s="39">
        <v>34182</v>
      </c>
      <c r="K77" s="7">
        <v>511.51433691756273</v>
      </c>
      <c r="S77" s="6">
        <v>918.95161290322574</v>
      </c>
      <c r="AA77" s="33">
        <v>232.25806451612905</v>
      </c>
    </row>
    <row r="78" spans="1:27" ht="15.75" x14ac:dyDescent="0.25">
      <c r="A78" s="39">
        <v>34213</v>
      </c>
      <c r="K78" s="7"/>
      <c r="S78" s="6"/>
      <c r="AA78" s="33"/>
    </row>
    <row r="79" spans="1:27" ht="15.75" x14ac:dyDescent="0.25">
      <c r="A79" s="39">
        <v>34243</v>
      </c>
      <c r="K79" s="7">
        <v>711.71594982078864</v>
      </c>
      <c r="S79" s="6">
        <v>1098.4767025089607</v>
      </c>
      <c r="AA79" s="33">
        <v>923.20788530465938</v>
      </c>
    </row>
    <row r="80" spans="1:27" ht="15.75" x14ac:dyDescent="0.25">
      <c r="A80" s="39">
        <v>34274</v>
      </c>
      <c r="K80" s="7">
        <v>550.02314814814815</v>
      </c>
      <c r="S80" s="6">
        <v>767.70833333333337</v>
      </c>
      <c r="AA80" s="33">
        <v>230.67129629629633</v>
      </c>
    </row>
    <row r="81" spans="1:27" ht="15.75" x14ac:dyDescent="0.25">
      <c r="A81" s="39">
        <v>34304</v>
      </c>
      <c r="K81" s="7">
        <v>460.08064516129036</v>
      </c>
      <c r="S81" s="6">
        <v>747.8046594982078</v>
      </c>
      <c r="AA81" s="33">
        <v>178.00179211469535</v>
      </c>
    </row>
    <row r="82" spans="1:27" ht="15.75" x14ac:dyDescent="0.25">
      <c r="A82" s="39">
        <v>34335</v>
      </c>
      <c r="K82" s="7">
        <v>436.8279569892473</v>
      </c>
      <c r="S82" s="6">
        <v>754.92831541218629</v>
      </c>
      <c r="AA82" s="33">
        <v>183.69175627240145</v>
      </c>
    </row>
    <row r="83" spans="1:27" ht="15.75" x14ac:dyDescent="0.25">
      <c r="A83" s="39">
        <v>34366</v>
      </c>
      <c r="K83" s="7">
        <v>451.38888888888886</v>
      </c>
      <c r="S83" s="6">
        <v>736.60714285714289</v>
      </c>
      <c r="AA83" s="33">
        <v>186.01190476190473</v>
      </c>
    </row>
    <row r="84" spans="1:27" ht="15.75" x14ac:dyDescent="0.25">
      <c r="A84" s="39">
        <v>34394</v>
      </c>
      <c r="K84" s="7">
        <v>412.18637992831543</v>
      </c>
      <c r="S84" s="6">
        <v>728.04659498207889</v>
      </c>
      <c r="AA84" s="33">
        <v>188.17204301075267</v>
      </c>
    </row>
    <row r="85" spans="1:27" ht="15.75" x14ac:dyDescent="0.25">
      <c r="A85" s="39">
        <v>34425</v>
      </c>
      <c r="S85" s="6">
        <v>694.44444444444446</v>
      </c>
    </row>
    <row r="86" spans="1:27" ht="15.75" x14ac:dyDescent="0.25">
      <c r="A86" s="39">
        <v>34455</v>
      </c>
      <c r="S86" s="6">
        <v>640.68100358422942</v>
      </c>
    </row>
    <row r="87" spans="1:27" ht="15.75" x14ac:dyDescent="0.25">
      <c r="A87" s="39">
        <v>34486</v>
      </c>
      <c r="S87" s="6">
        <v>666.66666666666663</v>
      </c>
    </row>
    <row r="88" spans="1:27" ht="15.75" x14ac:dyDescent="0.25">
      <c r="A88" s="39">
        <v>34516</v>
      </c>
      <c r="S88" s="6">
        <v>651.88172043010741</v>
      </c>
    </row>
    <row r="89" spans="1:27" ht="15.75" x14ac:dyDescent="0.25">
      <c r="A89" s="39">
        <v>34547</v>
      </c>
      <c r="S89" s="6">
        <v>651.88172043010741</v>
      </c>
    </row>
    <row r="90" spans="1:27" ht="15.75" x14ac:dyDescent="0.25">
      <c r="A90" s="39">
        <v>34578</v>
      </c>
      <c r="Q90" s="8">
        <v>85.648148148148138</v>
      </c>
      <c r="S90" s="6">
        <v>708.33333333333337</v>
      </c>
    </row>
    <row r="91" spans="1:27" ht="15.75" x14ac:dyDescent="0.25">
      <c r="A91" s="39">
        <v>34608</v>
      </c>
      <c r="Q91" s="8">
        <v>103.04659498207886</v>
      </c>
      <c r="S91" s="6">
        <v>770.60931899641582</v>
      </c>
    </row>
    <row r="92" spans="1:27" ht="15.75" x14ac:dyDescent="0.25">
      <c r="A92" s="39">
        <v>34639</v>
      </c>
      <c r="Q92" s="8">
        <v>180.55555555555557</v>
      </c>
      <c r="S92" s="6">
        <v>664.35185185185185</v>
      </c>
    </row>
    <row r="93" spans="1:27" ht="15.75" x14ac:dyDescent="0.25">
      <c r="A93" s="39">
        <v>34669</v>
      </c>
      <c r="Q93" s="8">
        <v>246.41577060931897</v>
      </c>
      <c r="S93" s="6">
        <v>660.84229390681003</v>
      </c>
    </row>
    <row r="94" spans="1:27" ht="15.75" x14ac:dyDescent="0.25">
      <c r="A94" s="39">
        <v>34700</v>
      </c>
      <c r="Q94" s="8">
        <v>251.23207885304657</v>
      </c>
      <c r="S94" s="6">
        <v>683.0645161290322</v>
      </c>
    </row>
    <row r="95" spans="1:27" ht="15.75" x14ac:dyDescent="0.25">
      <c r="A95" s="39">
        <v>34731</v>
      </c>
      <c r="Q95" s="8">
        <v>754.9355158730159</v>
      </c>
      <c r="S95" s="6">
        <v>686.92956349206349</v>
      </c>
    </row>
    <row r="96" spans="1:27" ht="15.75" x14ac:dyDescent="0.25">
      <c r="A96" s="39">
        <v>34759</v>
      </c>
      <c r="Q96" s="8">
        <v>250</v>
      </c>
      <c r="S96" s="6">
        <v>673.07347670250897</v>
      </c>
    </row>
    <row r="97" spans="1:19" ht="15.75" x14ac:dyDescent="0.25">
      <c r="A97" s="39">
        <v>34790</v>
      </c>
      <c r="Q97" s="8">
        <v>264.56018518518516</v>
      </c>
    </row>
    <row r="98" spans="1:19" ht="15.75" x14ac:dyDescent="0.25">
      <c r="A98" s="39">
        <v>34820</v>
      </c>
      <c r="Q98" s="8">
        <v>207.39247311827958</v>
      </c>
    </row>
    <row r="99" spans="1:19" ht="15.75" x14ac:dyDescent="0.25">
      <c r="A99" s="39">
        <v>34851</v>
      </c>
      <c r="Q99" s="8">
        <v>246.99074074074076</v>
      </c>
    </row>
    <row r="100" spans="1:19" ht="15.75" x14ac:dyDescent="0.25">
      <c r="A100" s="39">
        <v>34881</v>
      </c>
      <c r="Q100" s="8">
        <v>257.99731182795699</v>
      </c>
    </row>
    <row r="101" spans="1:19" ht="15.75" x14ac:dyDescent="0.25">
      <c r="A101" s="39">
        <v>34912</v>
      </c>
    </row>
    <row r="102" spans="1:19" ht="15.75" x14ac:dyDescent="0.25">
      <c r="A102" s="39">
        <v>34943</v>
      </c>
    </row>
    <row r="103" spans="1:19" ht="15.75" x14ac:dyDescent="0.25">
      <c r="A103" s="39">
        <v>34973</v>
      </c>
    </row>
    <row r="104" spans="1:19" ht="15.75" x14ac:dyDescent="0.25">
      <c r="A104" s="39">
        <v>35004</v>
      </c>
    </row>
    <row r="105" spans="1:19" ht="15.75" x14ac:dyDescent="0.25">
      <c r="A105" s="39">
        <v>35034</v>
      </c>
    </row>
    <row r="106" spans="1:19" ht="15.75" x14ac:dyDescent="0.25">
      <c r="A106" s="39">
        <v>35065</v>
      </c>
    </row>
    <row r="107" spans="1:19" ht="15.75" x14ac:dyDescent="0.25">
      <c r="A107" s="39">
        <v>35096</v>
      </c>
      <c r="S107" s="6">
        <v>790.58908045977</v>
      </c>
    </row>
    <row r="108" spans="1:19" ht="15.75" x14ac:dyDescent="0.25">
      <c r="A108" s="39">
        <v>35125</v>
      </c>
      <c r="S108" s="6">
        <v>865.61379928315398</v>
      </c>
    </row>
    <row r="109" spans="1:19" ht="15.75" x14ac:dyDescent="0.25">
      <c r="A109" s="39">
        <v>35156</v>
      </c>
      <c r="S109" s="6">
        <v>631.29629629629619</v>
      </c>
    </row>
    <row r="110" spans="1:19" ht="15.75" x14ac:dyDescent="0.25">
      <c r="A110" s="39">
        <v>35186</v>
      </c>
      <c r="S110" s="6">
        <v>713.06003584229393</v>
      </c>
    </row>
    <row r="111" spans="1:19" ht="15.75" x14ac:dyDescent="0.25">
      <c r="A111" s="39">
        <v>35217</v>
      </c>
      <c r="S111" s="6">
        <v>556.18055555555554</v>
      </c>
    </row>
    <row r="112" spans="1:19" ht="15.75" x14ac:dyDescent="0.25">
      <c r="A112" s="39">
        <v>35247</v>
      </c>
      <c r="E112" s="7">
        <v>585.61827956989259</v>
      </c>
      <c r="S112" s="6">
        <v>722.89426523297493</v>
      </c>
    </row>
    <row r="113" spans="1:19" ht="15.75" x14ac:dyDescent="0.25">
      <c r="A113" s="39">
        <v>35278</v>
      </c>
      <c r="E113" s="7">
        <v>654.0098566308244</v>
      </c>
      <c r="S113" s="6">
        <v>722.17741935483878</v>
      </c>
    </row>
    <row r="114" spans="1:19" ht="15.75" x14ac:dyDescent="0.25">
      <c r="A114" s="39">
        <v>35309</v>
      </c>
      <c r="E114" s="7">
        <v>458.01971326164875</v>
      </c>
      <c r="S114" s="6">
        <v>683.77314814814815</v>
      </c>
    </row>
    <row r="115" spans="1:19" ht="15.75" x14ac:dyDescent="0.25">
      <c r="A115" s="39">
        <v>35339</v>
      </c>
      <c r="E115" s="7">
        <v>483.15412186379928</v>
      </c>
      <c r="S115" s="6">
        <v>683.53494623655922</v>
      </c>
    </row>
    <row r="116" spans="1:19" ht="15.75" x14ac:dyDescent="0.25">
      <c r="A116" s="39">
        <v>35370</v>
      </c>
      <c r="E116" s="7">
        <v>508.26612903225811</v>
      </c>
      <c r="S116" s="6">
        <v>732.82407407407413</v>
      </c>
    </row>
    <row r="117" spans="1:19" ht="15.75" x14ac:dyDescent="0.25">
      <c r="A117" s="39">
        <v>35400</v>
      </c>
      <c r="E117" s="7">
        <v>913.64247311827967</v>
      </c>
      <c r="S117" s="6">
        <v>1099.5519713261647</v>
      </c>
    </row>
    <row r="118" spans="1:19" ht="15.75" x14ac:dyDescent="0.25">
      <c r="A118" s="39">
        <v>35431</v>
      </c>
      <c r="E118" s="7">
        <v>614.60573476702507</v>
      </c>
      <c r="S118" s="6">
        <v>501.23207885304663</v>
      </c>
    </row>
    <row r="119" spans="1:19" ht="15.75" x14ac:dyDescent="0.25">
      <c r="A119" s="39">
        <v>35462</v>
      </c>
      <c r="E119" s="7">
        <v>644.1756272401434</v>
      </c>
      <c r="S119" s="6">
        <v>586.73115079365073</v>
      </c>
    </row>
    <row r="120" spans="1:19" ht="15.75" x14ac:dyDescent="0.25">
      <c r="A120" s="39">
        <v>35490</v>
      </c>
      <c r="E120" s="7">
        <v>215.99462365591398</v>
      </c>
      <c r="S120" s="6">
        <v>950.89605734767019</v>
      </c>
    </row>
    <row r="121" spans="1:19" ht="15.75" x14ac:dyDescent="0.25">
      <c r="A121" s="39">
        <v>35521</v>
      </c>
      <c r="E121" s="7">
        <v>644.78046594982084</v>
      </c>
      <c r="S121" s="6">
        <v>923.35648148148141</v>
      </c>
    </row>
    <row r="122" spans="1:19" ht="15.75" x14ac:dyDescent="0.25">
      <c r="A122" s="39">
        <v>35551</v>
      </c>
      <c r="E122" s="7">
        <v>543.34677419354841</v>
      </c>
      <c r="S122" s="6">
        <v>997.22222222222229</v>
      </c>
    </row>
    <row r="123" spans="1:19" ht="15.75" x14ac:dyDescent="0.25">
      <c r="A123" s="39">
        <v>35582</v>
      </c>
      <c r="E123" s="7">
        <v>549.95519713261649</v>
      </c>
      <c r="S123" s="6">
        <v>850.87962962962968</v>
      </c>
    </row>
    <row r="124" spans="1:19" ht="15.75" x14ac:dyDescent="0.25">
      <c r="A124" s="39">
        <v>35612</v>
      </c>
      <c r="E124" s="7">
        <v>492.83154121863794</v>
      </c>
      <c r="S124" s="6">
        <v>841.84587813620067</v>
      </c>
    </row>
    <row r="125" spans="1:19" ht="15.75" x14ac:dyDescent="0.25">
      <c r="A125" s="39">
        <v>35643</v>
      </c>
      <c r="E125" s="7">
        <v>792.56272401433682</v>
      </c>
      <c r="S125" s="6">
        <v>864.71774193548379</v>
      </c>
    </row>
    <row r="126" spans="1:19" ht="15.75" x14ac:dyDescent="0.25">
      <c r="A126" s="39">
        <v>35674</v>
      </c>
      <c r="E126" s="7">
        <v>719.51164874551966</v>
      </c>
      <c r="S126" s="6">
        <v>869.60648148148141</v>
      </c>
    </row>
    <row r="127" spans="1:19" ht="15.75" x14ac:dyDescent="0.25">
      <c r="A127" s="39">
        <v>35704</v>
      </c>
      <c r="E127" s="7">
        <v>590.00896057347677</v>
      </c>
      <c r="S127" s="6">
        <v>820.00448028673839</v>
      </c>
    </row>
    <row r="128" spans="1:19" ht="15.75" x14ac:dyDescent="0.25">
      <c r="A128" s="39">
        <v>35735</v>
      </c>
      <c r="E128" s="7">
        <v>657.30286738351253</v>
      </c>
      <c r="S128" s="6">
        <v>500</v>
      </c>
    </row>
    <row r="129" spans="1:19" ht="15.75" x14ac:dyDescent="0.25">
      <c r="A129" s="39">
        <v>35765</v>
      </c>
      <c r="E129" s="7">
        <v>665.41218637992824</v>
      </c>
      <c r="S129" s="6">
        <v>637.5</v>
      </c>
    </row>
    <row r="130" spans="1:19" ht="15.75" x14ac:dyDescent="0.25">
      <c r="A130" s="39">
        <v>35796</v>
      </c>
      <c r="E130" s="7">
        <v>379.2786738351254</v>
      </c>
      <c r="S130" s="6">
        <v>880</v>
      </c>
    </row>
    <row r="131" spans="1:19" ht="15.75" x14ac:dyDescent="0.25">
      <c r="A131" s="39">
        <v>35827</v>
      </c>
      <c r="E131" s="7">
        <v>563.97849462365593</v>
      </c>
      <c r="S131" s="6">
        <v>716.14583333333337</v>
      </c>
    </row>
    <row r="132" spans="1:19" ht="15.75" x14ac:dyDescent="0.25">
      <c r="A132" s="39">
        <v>35855</v>
      </c>
      <c r="S132" s="6">
        <v>632.88530465949816</v>
      </c>
    </row>
    <row r="133" spans="1:19" ht="15.75" x14ac:dyDescent="0.25">
      <c r="A133" s="39">
        <v>35886</v>
      </c>
      <c r="S133" s="6">
        <v>653.98148148148152</v>
      </c>
    </row>
    <row r="134" spans="1:19" ht="15.75" x14ac:dyDescent="0.25">
      <c r="A134" s="39">
        <v>35916</v>
      </c>
      <c r="S134" s="6">
        <v>680.15232974910396</v>
      </c>
    </row>
    <row r="135" spans="1:19" ht="15.75" x14ac:dyDescent="0.25">
      <c r="A135" s="39">
        <v>35947</v>
      </c>
      <c r="S135" s="6">
        <v>690.81712962962956</v>
      </c>
    </row>
    <row r="136" spans="1:19" ht="15.75" x14ac:dyDescent="0.25">
      <c r="A136" s="39">
        <v>35977</v>
      </c>
      <c r="S136" s="6">
        <v>780</v>
      </c>
    </row>
    <row r="137" spans="1:19" ht="15.75" x14ac:dyDescent="0.25">
      <c r="A137" s="39">
        <v>36008</v>
      </c>
    </row>
    <row r="138" spans="1:19" ht="15.75" x14ac:dyDescent="0.25">
      <c r="A138" s="39">
        <v>36039</v>
      </c>
    </row>
    <row r="139" spans="1:19" ht="15.75" x14ac:dyDescent="0.25">
      <c r="A139" s="39">
        <v>36069</v>
      </c>
    </row>
    <row r="140" spans="1:19" ht="15.75" x14ac:dyDescent="0.25">
      <c r="A140" s="39">
        <v>36100</v>
      </c>
    </row>
    <row r="141" spans="1:19" ht="15.75" x14ac:dyDescent="0.25">
      <c r="A141" s="39">
        <v>36130</v>
      </c>
    </row>
    <row r="142" spans="1:19" ht="15.75" x14ac:dyDescent="0.25">
      <c r="A142" s="39">
        <v>36161</v>
      </c>
    </row>
    <row r="143" spans="1:19" ht="15.75" x14ac:dyDescent="0.25">
      <c r="A143" s="39">
        <v>36192</v>
      </c>
    </row>
    <row r="144" spans="1:19" ht="15.75" x14ac:dyDescent="0.25">
      <c r="A144" s="39">
        <v>36220</v>
      </c>
    </row>
    <row r="145" spans="1:1" ht="15.75" x14ac:dyDescent="0.25">
      <c r="A145" s="39">
        <v>36251</v>
      </c>
    </row>
    <row r="146" spans="1:1" ht="15.75" x14ac:dyDescent="0.25">
      <c r="A146" s="39">
        <v>36281</v>
      </c>
    </row>
    <row r="147" spans="1:1" ht="15.75" x14ac:dyDescent="0.25">
      <c r="A147" s="39">
        <v>36312</v>
      </c>
    </row>
    <row r="148" spans="1:1" ht="15.75" x14ac:dyDescent="0.25">
      <c r="A148" s="39">
        <v>36342</v>
      </c>
    </row>
    <row r="149" spans="1:1" ht="15.75" x14ac:dyDescent="0.25">
      <c r="A149" s="39">
        <v>36373</v>
      </c>
    </row>
    <row r="150" spans="1:1" ht="15.75" x14ac:dyDescent="0.25">
      <c r="A150" s="39">
        <v>36404</v>
      </c>
    </row>
    <row r="151" spans="1:1" ht="15.75" x14ac:dyDescent="0.25">
      <c r="A151" s="39">
        <v>36434</v>
      </c>
    </row>
    <row r="152" spans="1:1" ht="15.75" x14ac:dyDescent="0.25">
      <c r="A152" s="39">
        <v>36465</v>
      </c>
    </row>
    <row r="153" spans="1:1" ht="15.75" x14ac:dyDescent="0.25">
      <c r="A153" s="39">
        <v>36495</v>
      </c>
    </row>
    <row r="154" spans="1:1" ht="15.75" x14ac:dyDescent="0.25">
      <c r="A154" s="39">
        <v>36526</v>
      </c>
    </row>
    <row r="155" spans="1:1" ht="15.75" x14ac:dyDescent="0.25">
      <c r="A155" s="39">
        <v>36557</v>
      </c>
    </row>
    <row r="156" spans="1:1" ht="15.75" x14ac:dyDescent="0.25">
      <c r="A156" s="39">
        <v>36586</v>
      </c>
    </row>
    <row r="157" spans="1:1" ht="15.75" x14ac:dyDescent="0.25">
      <c r="A157" s="39">
        <v>36617</v>
      </c>
    </row>
    <row r="158" spans="1:1" ht="15.75" x14ac:dyDescent="0.25">
      <c r="A158" s="39">
        <v>36647</v>
      </c>
    </row>
    <row r="159" spans="1:1" ht="15.75" x14ac:dyDescent="0.25">
      <c r="A159" s="39">
        <v>36678</v>
      </c>
    </row>
    <row r="160" spans="1:1" ht="15.75" x14ac:dyDescent="0.25">
      <c r="A160" s="39">
        <v>36708</v>
      </c>
    </row>
    <row r="161" spans="1:22" ht="15.75" x14ac:dyDescent="0.25">
      <c r="A161" s="39">
        <v>36739</v>
      </c>
    </row>
    <row r="162" spans="1:22" ht="15.75" x14ac:dyDescent="0.25">
      <c r="A162" s="39">
        <v>36770</v>
      </c>
    </row>
    <row r="163" spans="1:22" ht="15.75" x14ac:dyDescent="0.25">
      <c r="A163" s="39">
        <v>36800</v>
      </c>
    </row>
    <row r="164" spans="1:22" ht="15.75" x14ac:dyDescent="0.25">
      <c r="A164" s="39">
        <v>36831</v>
      </c>
      <c r="V164" s="9">
        <v>379</v>
      </c>
    </row>
    <row r="165" spans="1:22" ht="15.75" x14ac:dyDescent="0.25">
      <c r="A165" s="39">
        <v>36861</v>
      </c>
      <c r="V165" s="9"/>
    </row>
    <row r="166" spans="1:22" ht="15.75" x14ac:dyDescent="0.25">
      <c r="A166" s="39">
        <v>36892</v>
      </c>
      <c r="V166" s="9"/>
    </row>
    <row r="167" spans="1:22" ht="15.75" x14ac:dyDescent="0.25">
      <c r="A167" s="39">
        <v>36923</v>
      </c>
      <c r="V167" s="9">
        <v>86.2</v>
      </c>
    </row>
    <row r="168" spans="1:22" ht="15.75" x14ac:dyDescent="0.25">
      <c r="A168" s="39">
        <v>36951</v>
      </c>
      <c r="V168" s="9"/>
    </row>
    <row r="169" spans="1:22" ht="15.75" x14ac:dyDescent="0.25">
      <c r="A169" s="39">
        <v>36982</v>
      </c>
      <c r="V169" s="9"/>
    </row>
    <row r="170" spans="1:22" ht="15.75" x14ac:dyDescent="0.25">
      <c r="A170" s="39">
        <v>37012</v>
      </c>
      <c r="V170" s="9">
        <v>917.3</v>
      </c>
    </row>
    <row r="171" spans="1:22" ht="15.75" x14ac:dyDescent="0.25">
      <c r="A171" s="39">
        <v>37043</v>
      </c>
      <c r="V171" s="9"/>
    </row>
    <row r="172" spans="1:22" ht="15.75" x14ac:dyDescent="0.25">
      <c r="A172" s="39">
        <v>37073</v>
      </c>
      <c r="V172" s="9"/>
    </row>
    <row r="173" spans="1:22" ht="15.75" x14ac:dyDescent="0.25">
      <c r="A173" s="39">
        <v>37104</v>
      </c>
      <c r="V173" s="9">
        <v>884.4</v>
      </c>
    </row>
    <row r="174" spans="1:22" ht="15.75" x14ac:dyDescent="0.25">
      <c r="A174" s="39">
        <v>37135</v>
      </c>
      <c r="V174" s="9"/>
    </row>
    <row r="175" spans="1:22" ht="15.75" x14ac:dyDescent="0.25">
      <c r="A175" s="39">
        <v>37165</v>
      </c>
      <c r="V175" s="9"/>
    </row>
    <row r="176" spans="1:22" ht="15.75" x14ac:dyDescent="0.25">
      <c r="A176" s="39">
        <v>37196</v>
      </c>
      <c r="V176" s="9">
        <v>884.4</v>
      </c>
    </row>
    <row r="177" spans="1:22" ht="15.75" x14ac:dyDescent="0.25">
      <c r="A177" s="39">
        <v>37226</v>
      </c>
      <c r="V177" s="9"/>
    </row>
    <row r="178" spans="1:22" ht="15.75" x14ac:dyDescent="0.25">
      <c r="A178" s="39">
        <v>37257</v>
      </c>
      <c r="V178" s="9"/>
    </row>
    <row r="179" spans="1:22" ht="15.75" x14ac:dyDescent="0.25">
      <c r="A179" s="39">
        <v>37288</v>
      </c>
      <c r="V179" s="9" t="s">
        <v>24</v>
      </c>
    </row>
    <row r="180" spans="1:22" ht="15.75" x14ac:dyDescent="0.25">
      <c r="A180" s="39">
        <v>37316</v>
      </c>
      <c r="V180" s="9"/>
    </row>
    <row r="181" spans="1:22" ht="15.75" x14ac:dyDescent="0.25">
      <c r="A181" s="39">
        <v>37347</v>
      </c>
      <c r="V181" s="9"/>
    </row>
    <row r="182" spans="1:22" ht="15.75" x14ac:dyDescent="0.25">
      <c r="A182" s="39">
        <v>37377</v>
      </c>
      <c r="V182" s="9" t="s">
        <v>24</v>
      </c>
    </row>
    <row r="183" spans="1:22" ht="15.75" x14ac:dyDescent="0.25">
      <c r="A183" s="39">
        <v>37408</v>
      </c>
      <c r="V183" s="9"/>
    </row>
    <row r="184" spans="1:22" ht="15.75" x14ac:dyDescent="0.25">
      <c r="A184" s="39">
        <v>37438</v>
      </c>
      <c r="V184" s="9"/>
    </row>
    <row r="185" spans="1:22" ht="15.75" x14ac:dyDescent="0.25">
      <c r="A185" s="39">
        <v>37469</v>
      </c>
      <c r="V185" s="9" t="s">
        <v>24</v>
      </c>
    </row>
    <row r="186" spans="1:22" ht="15.75" x14ac:dyDescent="0.25">
      <c r="A186" s="39">
        <v>37500</v>
      </c>
      <c r="V186" s="9"/>
    </row>
    <row r="187" spans="1:22" ht="15.75" x14ac:dyDescent="0.25">
      <c r="A187" s="39">
        <v>37530</v>
      </c>
      <c r="V187" s="9"/>
    </row>
    <row r="188" spans="1:22" ht="15.75" x14ac:dyDescent="0.25">
      <c r="A188" s="39">
        <v>37561</v>
      </c>
      <c r="V188" s="9">
        <v>659.35</v>
      </c>
    </row>
    <row r="189" spans="1:22" ht="15.75" x14ac:dyDescent="0.25">
      <c r="A189" s="39">
        <v>37591</v>
      </c>
      <c r="V189" s="9"/>
    </row>
    <row r="190" spans="1:22" ht="15.75" x14ac:dyDescent="0.25">
      <c r="A190" s="39">
        <v>37622</v>
      </c>
      <c r="V190" s="9"/>
    </row>
    <row r="191" spans="1:22" ht="15.75" x14ac:dyDescent="0.25">
      <c r="A191" s="39">
        <v>37653</v>
      </c>
      <c r="V191" s="9">
        <v>528.9</v>
      </c>
    </row>
    <row r="192" spans="1:22" ht="15.75" x14ac:dyDescent="0.25">
      <c r="A192" s="39">
        <v>37681</v>
      </c>
      <c r="V192" s="9"/>
    </row>
    <row r="193" spans="1:22" ht="15.75" x14ac:dyDescent="0.25">
      <c r="A193" s="39">
        <v>37712</v>
      </c>
      <c r="V193" s="9"/>
    </row>
    <row r="194" spans="1:22" ht="15.75" x14ac:dyDescent="0.25">
      <c r="A194" s="39">
        <v>37742</v>
      </c>
      <c r="V194" s="9">
        <v>414.8</v>
      </c>
    </row>
    <row r="195" spans="1:22" ht="15.75" x14ac:dyDescent="0.25">
      <c r="A195" s="39">
        <v>37773</v>
      </c>
      <c r="V195" s="9"/>
    </row>
    <row r="196" spans="1:22" ht="15.75" x14ac:dyDescent="0.25">
      <c r="A196" s="39">
        <v>37803</v>
      </c>
      <c r="V196" s="9"/>
    </row>
    <row r="197" spans="1:22" ht="15.75" x14ac:dyDescent="0.25">
      <c r="A197" s="39">
        <v>37834</v>
      </c>
      <c r="V197" s="9">
        <v>434.8</v>
      </c>
    </row>
    <row r="198" spans="1:22" ht="15.75" x14ac:dyDescent="0.25">
      <c r="A198" s="39">
        <v>37865</v>
      </c>
      <c r="V198" s="9"/>
    </row>
    <row r="199" spans="1:22" ht="15.75" x14ac:dyDescent="0.25">
      <c r="A199" s="39">
        <v>37895</v>
      </c>
      <c r="V199" s="9"/>
    </row>
    <row r="200" spans="1:22" ht="15.75" x14ac:dyDescent="0.25">
      <c r="A200" s="39">
        <v>37926</v>
      </c>
      <c r="V200" s="9">
        <v>486.5</v>
      </c>
    </row>
    <row r="201" spans="1:22" ht="15.75" x14ac:dyDescent="0.25">
      <c r="A201" s="39">
        <v>37956</v>
      </c>
      <c r="V201" s="9"/>
    </row>
    <row r="202" spans="1:22" ht="15.75" x14ac:dyDescent="0.25">
      <c r="A202" s="39">
        <v>37987</v>
      </c>
      <c r="V202" s="9"/>
    </row>
    <row r="203" spans="1:22" ht="15.75" x14ac:dyDescent="0.25">
      <c r="A203" s="39">
        <v>38018</v>
      </c>
      <c r="V203" s="9">
        <v>735.5</v>
      </c>
    </row>
    <row r="204" spans="1:22" ht="15.75" x14ac:dyDescent="0.25">
      <c r="A204" s="39">
        <v>38047</v>
      </c>
      <c r="V204" s="9"/>
    </row>
    <row r="205" spans="1:22" ht="15.75" x14ac:dyDescent="0.25">
      <c r="A205" s="39">
        <v>38078</v>
      </c>
      <c r="V205" s="9"/>
    </row>
    <row r="206" spans="1:22" ht="15.75" x14ac:dyDescent="0.25">
      <c r="A206" s="39">
        <v>38108</v>
      </c>
      <c r="V206" s="9">
        <v>526.4</v>
      </c>
    </row>
    <row r="207" spans="1:22" ht="15.75" x14ac:dyDescent="0.25">
      <c r="A207" s="39">
        <v>38139</v>
      </c>
      <c r="V207" s="9"/>
    </row>
    <row r="208" spans="1:22" ht="15.75" x14ac:dyDescent="0.25">
      <c r="A208" s="39">
        <v>38169</v>
      </c>
      <c r="V208" s="9"/>
    </row>
    <row r="209" spans="1:22" ht="15.75" x14ac:dyDescent="0.25">
      <c r="A209" s="39">
        <v>38200</v>
      </c>
      <c r="V209" s="9">
        <v>350.6</v>
      </c>
    </row>
    <row r="210" spans="1:22" ht="15.75" x14ac:dyDescent="0.25">
      <c r="A210" s="39">
        <v>38231</v>
      </c>
      <c r="V210" s="9"/>
    </row>
    <row r="211" spans="1:22" ht="15.75" x14ac:dyDescent="0.25">
      <c r="A211" s="39">
        <v>38261</v>
      </c>
      <c r="V211" s="9"/>
    </row>
    <row r="212" spans="1:22" ht="15.75" x14ac:dyDescent="0.25">
      <c r="A212" s="39">
        <v>38292</v>
      </c>
      <c r="V212" s="9">
        <v>252.5</v>
      </c>
    </row>
    <row r="213" spans="1:22" ht="15.75" x14ac:dyDescent="0.25">
      <c r="A213" s="39">
        <v>38322</v>
      </c>
      <c r="V213" s="9"/>
    </row>
    <row r="214" spans="1:22" ht="15.75" x14ac:dyDescent="0.25">
      <c r="A214" s="39">
        <v>38353</v>
      </c>
      <c r="I214" s="10">
        <v>144.28763440860217</v>
      </c>
      <c r="S214" s="6">
        <v>987.0743727598566</v>
      </c>
      <c r="V214" s="9"/>
    </row>
    <row r="215" spans="1:22" ht="15.75" x14ac:dyDescent="0.25">
      <c r="A215" s="39">
        <v>38384</v>
      </c>
      <c r="I215" s="10">
        <v>147.09821428571428</v>
      </c>
      <c r="S215" s="6">
        <v>1004.2410714285714</v>
      </c>
      <c r="V215" s="9">
        <v>190.7</v>
      </c>
    </row>
    <row r="216" spans="1:22" ht="15.75" x14ac:dyDescent="0.25">
      <c r="A216" s="39">
        <v>38412</v>
      </c>
      <c r="C216" s="11">
        <v>435.48387096774195</v>
      </c>
      <c r="I216" s="10">
        <v>140.4121863799283</v>
      </c>
      <c r="S216" s="6">
        <v>987.61200716845872</v>
      </c>
      <c r="V216" s="9"/>
    </row>
    <row r="217" spans="1:22" ht="15.75" x14ac:dyDescent="0.25">
      <c r="A217" s="39">
        <v>38443</v>
      </c>
      <c r="C217" s="11">
        <v>450</v>
      </c>
      <c r="I217" s="10">
        <v>140.9027777777778</v>
      </c>
      <c r="S217" s="6">
        <v>992.87037037037044</v>
      </c>
      <c r="V217" s="9"/>
    </row>
    <row r="218" spans="1:22" ht="15.75" x14ac:dyDescent="0.25">
      <c r="A218" s="39">
        <v>38473</v>
      </c>
      <c r="C218" s="11">
        <v>500</v>
      </c>
      <c r="I218" s="10">
        <v>141.10663082437279</v>
      </c>
      <c r="S218" s="6">
        <v>808.98297491039432</v>
      </c>
      <c r="V218" s="9">
        <v>180.8</v>
      </c>
    </row>
    <row r="219" spans="1:22" ht="15.75" x14ac:dyDescent="0.25">
      <c r="A219" s="39">
        <v>38504</v>
      </c>
      <c r="C219" s="11">
        <v>500</v>
      </c>
      <c r="I219" s="10">
        <v>883.33333333333326</v>
      </c>
      <c r="S219" s="6">
        <v>882.80092592592598</v>
      </c>
    </row>
    <row r="220" spans="1:22" ht="15.75" x14ac:dyDescent="0.25">
      <c r="A220" s="39">
        <v>38534</v>
      </c>
      <c r="C220" s="11">
        <v>500</v>
      </c>
      <c r="I220" s="10">
        <v>146.37896825396825</v>
      </c>
      <c r="S220" s="6">
        <v>811.78315412186384</v>
      </c>
    </row>
    <row r="221" spans="1:22" ht="15.75" x14ac:dyDescent="0.25">
      <c r="A221" s="39">
        <v>38565</v>
      </c>
      <c r="C221" s="11">
        <v>861.11111111111109</v>
      </c>
      <c r="I221" s="10">
        <v>153.20340501792114</v>
      </c>
      <c r="S221" s="6">
        <v>778.94265232974919</v>
      </c>
    </row>
    <row r="222" spans="1:22" ht="15.75" x14ac:dyDescent="0.25">
      <c r="A222" s="39">
        <v>38596</v>
      </c>
      <c r="C222" s="11">
        <v>861.11111111111109</v>
      </c>
      <c r="I222" s="10">
        <v>153.20340501792114</v>
      </c>
      <c r="S222" s="6">
        <v>778.94265232974919</v>
      </c>
    </row>
    <row r="223" spans="1:22" ht="15.75" x14ac:dyDescent="0.25">
      <c r="A223" s="39">
        <v>38626</v>
      </c>
      <c r="C223" s="11">
        <v>605.51075268817203</v>
      </c>
      <c r="I223" s="10">
        <v>155.11363636363637</v>
      </c>
      <c r="S223" s="6">
        <v>761.40232974910407</v>
      </c>
    </row>
    <row r="224" spans="1:22" ht="15.75" x14ac:dyDescent="0.25">
      <c r="A224" s="39">
        <v>38657</v>
      </c>
      <c r="C224" s="11">
        <v>607.4537037037037</v>
      </c>
      <c r="I224" s="10">
        <v>142.99768518518519</v>
      </c>
      <c r="S224" s="6">
        <v>782.87037037037032</v>
      </c>
    </row>
    <row r="225" spans="1:19" ht="15.75" x14ac:dyDescent="0.25">
      <c r="A225" s="39">
        <v>38687</v>
      </c>
      <c r="C225" s="11">
        <v>599.43996415770619</v>
      </c>
      <c r="S225" s="6">
        <v>754.92831541218629</v>
      </c>
    </row>
    <row r="226" spans="1:19" ht="15.75" x14ac:dyDescent="0.25">
      <c r="A226" s="39">
        <v>38718</v>
      </c>
      <c r="C226" s="11">
        <v>599.61917562724011</v>
      </c>
      <c r="S226" s="6">
        <v>747.62544802867365</v>
      </c>
    </row>
    <row r="227" spans="1:19" ht="15.75" x14ac:dyDescent="0.25">
      <c r="A227" s="39">
        <v>38749</v>
      </c>
      <c r="C227" s="11">
        <v>603.49702380952385</v>
      </c>
      <c r="S227" s="6">
        <v>762.84722222222229</v>
      </c>
    </row>
    <row r="228" spans="1:19" ht="15.75" x14ac:dyDescent="0.25">
      <c r="A228" s="39">
        <v>38777</v>
      </c>
      <c r="S228" s="6">
        <v>766.39784946236546</v>
      </c>
    </row>
    <row r="229" spans="1:19" ht="15.75" x14ac:dyDescent="0.25">
      <c r="A229" s="39">
        <v>38808</v>
      </c>
      <c r="S229" s="6">
        <v>749.4212962962963</v>
      </c>
    </row>
    <row r="230" spans="1:19" ht="15.75" x14ac:dyDescent="0.25">
      <c r="A230" s="39">
        <v>38838</v>
      </c>
      <c r="S230" s="6">
        <v>762.76881720430129</v>
      </c>
    </row>
    <row r="231" spans="1:19" ht="15.75" x14ac:dyDescent="0.25">
      <c r="A231" s="39">
        <v>38869</v>
      </c>
      <c r="S231" s="6">
        <v>789.15229885057465</v>
      </c>
    </row>
    <row r="232" spans="1:19" ht="15.75" x14ac:dyDescent="0.25">
      <c r="A232" s="39">
        <v>38899</v>
      </c>
      <c r="S232" s="6">
        <v>787.10648148148152</v>
      </c>
    </row>
    <row r="233" spans="1:19" ht="15.75" x14ac:dyDescent="0.25">
      <c r="A233" s="39">
        <v>38930</v>
      </c>
      <c r="S233" s="6">
        <v>783.10185185185185</v>
      </c>
    </row>
    <row r="234" spans="1:19" ht="15.75" x14ac:dyDescent="0.25">
      <c r="A234" s="39">
        <v>38961</v>
      </c>
      <c r="S234" s="6">
        <v>807.66203703703695</v>
      </c>
    </row>
    <row r="235" spans="1:19" ht="15.75" x14ac:dyDescent="0.25">
      <c r="A235" s="39">
        <v>38991</v>
      </c>
      <c r="S235" s="6">
        <v>825.91845878136201</v>
      </c>
    </row>
    <row r="236" spans="1:19" ht="15.75" x14ac:dyDescent="0.25">
      <c r="A236" s="39">
        <v>39022</v>
      </c>
      <c r="S236" s="6">
        <v>746.52777777777783</v>
      </c>
    </row>
    <row r="237" spans="1:19" ht="15.75" x14ac:dyDescent="0.25">
      <c r="A237" s="39">
        <v>39052</v>
      </c>
      <c r="S237" s="6">
        <v>585.10304659498206</v>
      </c>
    </row>
    <row r="238" spans="1:19" ht="15.75" x14ac:dyDescent="0.25">
      <c r="A238" s="39">
        <v>39083</v>
      </c>
      <c r="S238" s="6">
        <v>610.79749103942652</v>
      </c>
    </row>
    <row r="239" spans="1:19" ht="15.75" x14ac:dyDescent="0.25">
      <c r="A239" s="39">
        <v>39114</v>
      </c>
      <c r="S239" s="6">
        <v>622.22222222222229</v>
      </c>
    </row>
    <row r="240" spans="1:19" ht="15.75" x14ac:dyDescent="0.25">
      <c r="A240" s="39">
        <v>39142</v>
      </c>
      <c r="S240" s="6">
        <v>603.31541218637983</v>
      </c>
    </row>
    <row r="241" spans="1:22" ht="15.75" x14ac:dyDescent="0.25">
      <c r="A241" s="39">
        <v>39173</v>
      </c>
      <c r="S241" s="6">
        <v>612.17592592592598</v>
      </c>
    </row>
    <row r="242" spans="1:22" ht="15.75" x14ac:dyDescent="0.25">
      <c r="A242" s="39">
        <v>39203</v>
      </c>
      <c r="V242" s="9">
        <v>409.9</v>
      </c>
    </row>
    <row r="243" spans="1:22" ht="15.75" x14ac:dyDescent="0.25">
      <c r="A243" s="39">
        <v>39234</v>
      </c>
      <c r="V243" s="9"/>
    </row>
    <row r="244" spans="1:22" ht="15.75" x14ac:dyDescent="0.25">
      <c r="A244" s="39">
        <v>39264</v>
      </c>
      <c r="V244" s="9"/>
    </row>
    <row r="245" spans="1:22" ht="15.75" x14ac:dyDescent="0.25">
      <c r="A245" s="39">
        <v>39295</v>
      </c>
      <c r="V245" s="9">
        <v>611</v>
      </c>
    </row>
    <row r="246" spans="1:22" ht="15.75" x14ac:dyDescent="0.25">
      <c r="A246" s="39">
        <v>39326</v>
      </c>
      <c r="S246" s="6">
        <v>648.98148148148152</v>
      </c>
      <c r="V246" s="9"/>
    </row>
    <row r="247" spans="1:22" ht="15.75" x14ac:dyDescent="0.25">
      <c r="A247" s="39">
        <v>39356</v>
      </c>
      <c r="S247" s="6">
        <v>662.36559139784947</v>
      </c>
      <c r="V247" s="9"/>
    </row>
    <row r="248" spans="1:22" ht="15.75" x14ac:dyDescent="0.25">
      <c r="A248" s="39">
        <v>39387</v>
      </c>
      <c r="S248" s="6">
        <v>638.77688172043008</v>
      </c>
      <c r="V248" s="9">
        <v>651.9</v>
      </c>
    </row>
    <row r="249" spans="1:22" ht="15.75" x14ac:dyDescent="0.25">
      <c r="A249" s="39">
        <v>39417</v>
      </c>
      <c r="S249" s="6">
        <v>666.28584229390674</v>
      </c>
      <c r="V249" s="9"/>
    </row>
    <row r="250" spans="1:22" ht="15.75" x14ac:dyDescent="0.25">
      <c r="A250" s="39">
        <v>39448</v>
      </c>
      <c r="S250" s="6">
        <v>678.92025089605738</v>
      </c>
      <c r="V250" s="9"/>
    </row>
    <row r="251" spans="1:22" ht="15.75" x14ac:dyDescent="0.25">
      <c r="A251" s="39">
        <v>39479</v>
      </c>
      <c r="S251" s="6">
        <v>700.74233716475101</v>
      </c>
      <c r="V251" s="9">
        <v>762.4</v>
      </c>
    </row>
    <row r="252" spans="1:22" ht="15.75" x14ac:dyDescent="0.25">
      <c r="A252" s="39">
        <v>39508</v>
      </c>
      <c r="S252" s="6">
        <v>707.2132616487454</v>
      </c>
      <c r="V252" s="9"/>
    </row>
    <row r="253" spans="1:22" ht="15.75" x14ac:dyDescent="0.25">
      <c r="A253" s="39">
        <v>39539</v>
      </c>
      <c r="S253" s="6">
        <v>685.55555555555554</v>
      </c>
      <c r="V253" s="9"/>
    </row>
    <row r="254" spans="1:22" ht="15.75" x14ac:dyDescent="0.25">
      <c r="A254" s="39">
        <v>39569</v>
      </c>
      <c r="S254" s="6">
        <v>694.48924731182808</v>
      </c>
      <c r="V254" s="9">
        <v>552.79999999999995</v>
      </c>
    </row>
    <row r="255" spans="1:22" ht="15.75" x14ac:dyDescent="0.25">
      <c r="A255" s="39">
        <v>39600</v>
      </c>
      <c r="S255" s="6">
        <v>643.47222222222217</v>
      </c>
      <c r="V255" s="9"/>
    </row>
    <row r="256" spans="1:22" ht="15.75" x14ac:dyDescent="0.25">
      <c r="A256" s="39">
        <v>39630</v>
      </c>
      <c r="S256" s="6">
        <v>620.72132616487454</v>
      </c>
      <c r="V256" s="9"/>
    </row>
    <row r="257" spans="1:22" ht="15.75" x14ac:dyDescent="0.25">
      <c r="A257" s="39">
        <v>39661</v>
      </c>
      <c r="S257" s="6">
        <v>621.16935483870975</v>
      </c>
      <c r="V257" s="9" t="s">
        <v>24</v>
      </c>
    </row>
    <row r="258" spans="1:22" ht="15.75" x14ac:dyDescent="0.25">
      <c r="A258" s="39">
        <v>39692</v>
      </c>
      <c r="V258" s="9"/>
    </row>
    <row r="259" spans="1:22" ht="15.75" x14ac:dyDescent="0.25">
      <c r="A259" s="39">
        <v>39722</v>
      </c>
      <c r="V259" s="9"/>
    </row>
    <row r="260" spans="1:22" ht="15.75" x14ac:dyDescent="0.25">
      <c r="A260" s="39">
        <v>39753</v>
      </c>
      <c r="N260" s="12">
        <v>528.29999999999995</v>
      </c>
      <c r="V260" s="9">
        <v>654.20000000000005</v>
      </c>
    </row>
    <row r="261" spans="1:22" ht="15.75" x14ac:dyDescent="0.25">
      <c r="A261" s="39">
        <v>39783</v>
      </c>
      <c r="N261" s="12"/>
      <c r="V261" s="9"/>
    </row>
    <row r="262" spans="1:22" ht="15.75" x14ac:dyDescent="0.25">
      <c r="A262" s="39">
        <v>39814</v>
      </c>
      <c r="N262" s="12"/>
      <c r="S262" s="6">
        <v>595.06523297491037</v>
      </c>
      <c r="V262" s="9"/>
    </row>
    <row r="263" spans="1:22" ht="15.75" x14ac:dyDescent="0.25">
      <c r="A263" s="39">
        <v>39845</v>
      </c>
      <c r="N263" s="12">
        <v>592.29999999999995</v>
      </c>
      <c r="S263" s="6">
        <v>608.78409226190468</v>
      </c>
      <c r="V263" s="9">
        <v>825.7</v>
      </c>
    </row>
    <row r="264" spans="1:22" ht="15.75" x14ac:dyDescent="0.25">
      <c r="A264" s="39">
        <v>39873</v>
      </c>
      <c r="N264" s="12"/>
      <c r="S264" s="6">
        <v>621.30426299283181</v>
      </c>
      <c r="V264" s="9"/>
    </row>
    <row r="265" spans="1:22" ht="15.75" x14ac:dyDescent="0.25">
      <c r="A265" s="39">
        <v>39904</v>
      </c>
      <c r="N265" s="12"/>
      <c r="S265" s="6">
        <v>667.4820462962964</v>
      </c>
      <c r="V265" s="9"/>
    </row>
    <row r="266" spans="1:22" ht="15.75" x14ac:dyDescent="0.25">
      <c r="A266" s="39">
        <v>39934</v>
      </c>
      <c r="N266" s="12">
        <v>663.2</v>
      </c>
      <c r="S266" s="6">
        <v>690.81195564516111</v>
      </c>
      <c r="V266" s="9">
        <v>818.2</v>
      </c>
    </row>
    <row r="267" spans="1:22" ht="15.75" x14ac:dyDescent="0.25">
      <c r="A267" s="39">
        <v>39965</v>
      </c>
      <c r="N267" s="12"/>
      <c r="S267" s="6">
        <v>700.46868055555558</v>
      </c>
    </row>
    <row r="268" spans="1:22" ht="15.75" x14ac:dyDescent="0.25">
      <c r="A268" s="39">
        <v>39995</v>
      </c>
      <c r="N268" s="12"/>
      <c r="S268" s="6">
        <v>723.29749103942652</v>
      </c>
    </row>
    <row r="269" spans="1:22" ht="15.75" x14ac:dyDescent="0.25">
      <c r="A269" s="39">
        <v>40026</v>
      </c>
      <c r="N269" s="12">
        <v>714.2</v>
      </c>
      <c r="S269" s="6">
        <v>754.99551971326173</v>
      </c>
    </row>
    <row r="270" spans="1:22" ht="15.75" x14ac:dyDescent="0.25">
      <c r="A270" s="39">
        <v>40057</v>
      </c>
      <c r="N270" s="12"/>
      <c r="S270" s="6">
        <v>755</v>
      </c>
    </row>
    <row r="271" spans="1:22" ht="15.75" x14ac:dyDescent="0.25">
      <c r="A271" s="39">
        <v>40087</v>
      </c>
      <c r="N271" s="12"/>
      <c r="S271" s="6">
        <v>754.99551971326173</v>
      </c>
    </row>
    <row r="272" spans="1:22" ht="15.75" x14ac:dyDescent="0.25">
      <c r="A272" s="39">
        <v>40118</v>
      </c>
      <c r="N272" s="12">
        <v>587.29999999999995</v>
      </c>
      <c r="S272" s="6">
        <v>755</v>
      </c>
    </row>
    <row r="273" spans="1:24" ht="15.75" x14ac:dyDescent="0.25">
      <c r="A273" s="39">
        <v>40148</v>
      </c>
      <c r="N273" s="12"/>
      <c r="S273" s="6">
        <v>754.99551971326173</v>
      </c>
    </row>
    <row r="274" spans="1:24" ht="15.75" x14ac:dyDescent="0.25">
      <c r="A274" s="39">
        <v>40179</v>
      </c>
      <c r="N274" s="12"/>
      <c r="S274" s="6">
        <v>754.99551971326161</v>
      </c>
    </row>
    <row r="275" spans="1:24" ht="15.75" x14ac:dyDescent="0.25">
      <c r="A275" s="39">
        <v>40210</v>
      </c>
      <c r="N275" s="12">
        <v>577.29999999999995</v>
      </c>
      <c r="S275" s="6">
        <v>647.99227182539653</v>
      </c>
    </row>
    <row r="276" spans="1:24" ht="15.75" x14ac:dyDescent="0.25">
      <c r="A276" s="39">
        <v>40238</v>
      </c>
      <c r="N276" s="12"/>
      <c r="S276" s="6">
        <v>654.1</v>
      </c>
    </row>
    <row r="277" spans="1:24" ht="15.75" x14ac:dyDescent="0.25">
      <c r="A277" s="39">
        <v>40269</v>
      </c>
      <c r="N277" s="12"/>
      <c r="S277" s="6">
        <v>646.79999999999995</v>
      </c>
    </row>
    <row r="278" spans="1:24" ht="15.75" x14ac:dyDescent="0.25">
      <c r="A278" s="39">
        <v>40299</v>
      </c>
      <c r="N278" s="12">
        <v>669.2</v>
      </c>
      <c r="S278" s="6">
        <v>644.79999999999995</v>
      </c>
    </row>
    <row r="279" spans="1:24" ht="15.75" x14ac:dyDescent="0.25">
      <c r="A279" s="39">
        <v>40330</v>
      </c>
      <c r="S279" s="6">
        <v>648.29999999999995</v>
      </c>
    </row>
    <row r="280" spans="1:24" ht="15.75" x14ac:dyDescent="0.25">
      <c r="A280" s="39">
        <v>40360</v>
      </c>
    </row>
    <row r="281" spans="1:24" ht="15.75" x14ac:dyDescent="0.25">
      <c r="A281" s="39">
        <v>40391</v>
      </c>
      <c r="N281" s="12">
        <v>693.7</v>
      </c>
    </row>
    <row r="282" spans="1:24" ht="15.75" x14ac:dyDescent="0.25">
      <c r="A282" s="39">
        <v>40422</v>
      </c>
      <c r="N282" s="12"/>
    </row>
    <row r="283" spans="1:24" ht="15.75" x14ac:dyDescent="0.25">
      <c r="A283" s="39">
        <v>40452</v>
      </c>
      <c r="N283" s="12"/>
    </row>
    <row r="284" spans="1:24" ht="15.75" x14ac:dyDescent="0.25">
      <c r="A284" s="39">
        <v>40483</v>
      </c>
      <c r="L284" s="12">
        <v>375.8</v>
      </c>
      <c r="N284" s="12">
        <v>666.7</v>
      </c>
      <c r="X284" s="7">
        <v>369.4</v>
      </c>
    </row>
    <row r="285" spans="1:24" ht="15.75" x14ac:dyDescent="0.25">
      <c r="A285" s="39">
        <v>40513</v>
      </c>
      <c r="L285" s="12"/>
      <c r="N285" s="12"/>
      <c r="X285" s="32"/>
    </row>
    <row r="286" spans="1:24" ht="15.75" x14ac:dyDescent="0.25">
      <c r="A286" s="39">
        <v>40544</v>
      </c>
      <c r="L286" s="8"/>
      <c r="N286" s="8"/>
      <c r="X286" s="32"/>
    </row>
    <row r="287" spans="1:24" ht="15.75" x14ac:dyDescent="0.25">
      <c r="A287" s="39">
        <v>40575</v>
      </c>
      <c r="L287" s="12">
        <v>372</v>
      </c>
      <c r="N287" s="12">
        <v>652.20000000000005</v>
      </c>
      <c r="X287" s="10">
        <v>465.3</v>
      </c>
    </row>
    <row r="288" spans="1:24" ht="15.75" x14ac:dyDescent="0.25">
      <c r="A288" s="39">
        <v>40603</v>
      </c>
      <c r="L288" s="8"/>
      <c r="N288" s="8"/>
      <c r="X288" s="32"/>
    </row>
    <row r="289" spans="1:24" ht="15.75" x14ac:dyDescent="0.25">
      <c r="A289" s="39">
        <v>40634</v>
      </c>
      <c r="L289" s="8"/>
      <c r="N289" s="8"/>
      <c r="X289" s="32"/>
    </row>
    <row r="290" spans="1:24" ht="15.75" x14ac:dyDescent="0.25">
      <c r="A290" s="39">
        <v>40664</v>
      </c>
      <c r="L290" s="12">
        <v>441</v>
      </c>
      <c r="N290" s="12">
        <v>744.7</v>
      </c>
      <c r="X290" s="10">
        <v>468.8</v>
      </c>
    </row>
    <row r="291" spans="1:24" ht="15.75" x14ac:dyDescent="0.25">
      <c r="A291" s="39">
        <v>40695</v>
      </c>
      <c r="L291" s="8"/>
      <c r="N291" s="8"/>
      <c r="X291" s="32"/>
    </row>
    <row r="292" spans="1:24" ht="15.75" x14ac:dyDescent="0.25">
      <c r="A292" s="39">
        <v>40725</v>
      </c>
      <c r="L292" s="8"/>
      <c r="N292" s="8"/>
      <c r="X292" s="32"/>
    </row>
    <row r="293" spans="1:24" ht="15.75" x14ac:dyDescent="0.25">
      <c r="A293" s="39">
        <v>40756</v>
      </c>
      <c r="L293" s="12">
        <v>4444</v>
      </c>
      <c r="N293" s="12">
        <v>790.7</v>
      </c>
      <c r="X293" s="10">
        <v>770.3</v>
      </c>
    </row>
    <row r="294" spans="1:24" ht="15.75" x14ac:dyDescent="0.25">
      <c r="A294" s="39">
        <v>40787</v>
      </c>
      <c r="L294" s="8"/>
      <c r="N294" s="8"/>
      <c r="X294" s="32"/>
    </row>
    <row r="295" spans="1:24" ht="15.75" x14ac:dyDescent="0.25">
      <c r="A295" s="39">
        <v>40817</v>
      </c>
      <c r="L295" s="8"/>
      <c r="N295" s="8"/>
      <c r="X295" s="32"/>
    </row>
    <row r="296" spans="1:24" ht="15.75" x14ac:dyDescent="0.25">
      <c r="A296" s="39">
        <v>40848</v>
      </c>
      <c r="L296" s="12">
        <v>428</v>
      </c>
      <c r="N296" s="12">
        <v>562.29999999999995</v>
      </c>
      <c r="X296" s="10">
        <v>434.8</v>
      </c>
    </row>
    <row r="297" spans="1:24" ht="15.75" x14ac:dyDescent="0.25">
      <c r="A297" s="39">
        <v>40878</v>
      </c>
      <c r="L297" s="8"/>
      <c r="N297" s="8"/>
      <c r="X297" s="7"/>
    </row>
    <row r="298" spans="1:24" ht="15.75" x14ac:dyDescent="0.25">
      <c r="A298" s="39">
        <v>40909</v>
      </c>
      <c r="L298" s="8"/>
      <c r="N298" s="8"/>
      <c r="X298" s="7"/>
    </row>
    <row r="299" spans="1:24" ht="15.75" x14ac:dyDescent="0.25">
      <c r="A299" s="39">
        <v>40940</v>
      </c>
      <c r="L299" s="8">
        <v>397.3</v>
      </c>
      <c r="N299" s="8">
        <v>570</v>
      </c>
      <c r="X299" s="10">
        <v>450.3</v>
      </c>
    </row>
    <row r="300" spans="1:24" ht="15.75" x14ac:dyDescent="0.25">
      <c r="A300" s="39">
        <v>40969</v>
      </c>
      <c r="L300" s="8"/>
      <c r="N300" s="8"/>
      <c r="X300" s="7"/>
    </row>
    <row r="301" spans="1:24" ht="15.75" x14ac:dyDescent="0.25">
      <c r="A301" s="39">
        <v>41000</v>
      </c>
      <c r="L301" s="8"/>
      <c r="N301" s="8"/>
      <c r="X301" s="7"/>
    </row>
    <row r="302" spans="1:24" ht="15.75" x14ac:dyDescent="0.25">
      <c r="A302" s="39">
        <v>41030</v>
      </c>
      <c r="L302" s="8">
        <v>309.39999999999998</v>
      </c>
      <c r="N302" s="8">
        <v>565</v>
      </c>
      <c r="X302" s="10">
        <v>415.8</v>
      </c>
    </row>
    <row r="303" spans="1:24" ht="15.75" x14ac:dyDescent="0.25">
      <c r="A303" s="39">
        <v>41061</v>
      </c>
    </row>
    <row r="304" spans="1:24" ht="15.75" x14ac:dyDescent="0.25">
      <c r="A304" s="39">
        <v>41091</v>
      </c>
    </row>
    <row r="305" spans="1:1" ht="15.75" x14ac:dyDescent="0.25">
      <c r="A305" s="39">
        <v>41122</v>
      </c>
    </row>
    <row r="306" spans="1:1" ht="15.75" x14ac:dyDescent="0.25">
      <c r="A306" s="39">
        <v>41153</v>
      </c>
    </row>
    <row r="307" spans="1:1" ht="15.75" x14ac:dyDescent="0.25">
      <c r="A307" s="39">
        <v>41183</v>
      </c>
    </row>
    <row r="308" spans="1:1" ht="15.75" x14ac:dyDescent="0.25">
      <c r="A308" s="39">
        <v>41214</v>
      </c>
    </row>
    <row r="309" spans="1:1" ht="15.75" x14ac:dyDescent="0.25">
      <c r="A309" s="39">
        <v>41244</v>
      </c>
    </row>
    <row r="310" spans="1:1" ht="15.75" x14ac:dyDescent="0.25">
      <c r="A310" s="39">
        <v>41275</v>
      </c>
    </row>
    <row r="311" spans="1:1" ht="15.75" x14ac:dyDescent="0.25">
      <c r="A311" s="39">
        <v>41306</v>
      </c>
    </row>
    <row r="312" spans="1:1" ht="15.75" x14ac:dyDescent="0.25">
      <c r="A312" s="39">
        <v>41334</v>
      </c>
    </row>
    <row r="313" spans="1:1" ht="15.75" x14ac:dyDescent="0.25">
      <c r="A313" s="39">
        <v>41365</v>
      </c>
    </row>
    <row r="314" spans="1:1" ht="15.75" x14ac:dyDescent="0.25">
      <c r="A314" s="39">
        <v>41395</v>
      </c>
    </row>
    <row r="315" spans="1:1" ht="15.75" x14ac:dyDescent="0.25">
      <c r="A315" s="39">
        <v>41426</v>
      </c>
    </row>
    <row r="316" spans="1:1" ht="15.75" x14ac:dyDescent="0.25">
      <c r="A316" s="39">
        <v>41456</v>
      </c>
    </row>
    <row r="317" spans="1:1" ht="15.75" x14ac:dyDescent="0.25">
      <c r="A317" s="39">
        <v>41487</v>
      </c>
    </row>
    <row r="318" spans="1:1" ht="15.75" x14ac:dyDescent="0.25">
      <c r="A318" s="39">
        <v>41518</v>
      </c>
    </row>
    <row r="319" spans="1:1" ht="15.75" x14ac:dyDescent="0.25">
      <c r="A319" s="39">
        <v>41548</v>
      </c>
    </row>
    <row r="320" spans="1:1" ht="15.75" x14ac:dyDescent="0.25">
      <c r="A320" s="39">
        <v>41579</v>
      </c>
    </row>
    <row r="321" spans="1:31" ht="15.75" x14ac:dyDescent="0.25">
      <c r="A321" s="39">
        <v>41609</v>
      </c>
    </row>
    <row r="322" spans="1:31" ht="15.75" x14ac:dyDescent="0.25">
      <c r="A322" s="39">
        <v>41640</v>
      </c>
      <c r="U322" s="10">
        <f>7737*1000/31/24/60</f>
        <v>173.31989247311827</v>
      </c>
    </row>
    <row r="323" spans="1:31" ht="15.75" x14ac:dyDescent="0.25">
      <c r="A323" s="39">
        <v>41671</v>
      </c>
      <c r="U323" s="10">
        <f>7059*1000/28/24/60</f>
        <v>175.07440476190476</v>
      </c>
    </row>
    <row r="324" spans="1:31" ht="15.75" x14ac:dyDescent="0.25">
      <c r="A324" s="39">
        <v>41699</v>
      </c>
      <c r="U324" s="10">
        <f>7729*1000/31/24/60</f>
        <v>173.14068100358423</v>
      </c>
    </row>
    <row r="325" spans="1:31" ht="15.75" x14ac:dyDescent="0.25">
      <c r="A325" s="39">
        <v>41730</v>
      </c>
      <c r="U325" s="10">
        <f>7606*1000/30/24/60</f>
        <v>176.06481481481481</v>
      </c>
      <c r="AC325" s="20">
        <f>25917*1000/30/24/60</f>
        <v>599.93055555555554</v>
      </c>
    </row>
    <row r="326" spans="1:31" ht="15.75" x14ac:dyDescent="0.25">
      <c r="A326" s="39">
        <v>41760</v>
      </c>
      <c r="U326" s="10">
        <f>7835</f>
        <v>7835</v>
      </c>
      <c r="AC326" s="20">
        <f>28304*1000/31/24/60</f>
        <v>634.05017921146953</v>
      </c>
    </row>
    <row r="327" spans="1:31" ht="15.75" x14ac:dyDescent="0.25">
      <c r="A327" s="39">
        <v>41791</v>
      </c>
      <c r="U327" s="10">
        <f>7370*1000/30/24/60</f>
        <v>170.60185185185185</v>
      </c>
      <c r="AC327" s="20">
        <f>25929*1000/30/24/60</f>
        <v>600.20833333333337</v>
      </c>
    </row>
    <row r="328" spans="1:31" ht="15.75" x14ac:dyDescent="0.25">
      <c r="A328" s="39">
        <v>41821</v>
      </c>
      <c r="U328" s="10">
        <f>7731*1000/31/24/60</f>
        <v>173.18548387096774</v>
      </c>
      <c r="AC328" s="20">
        <f>27005*1000/31/24/60</f>
        <v>604.95071684587811</v>
      </c>
    </row>
    <row r="329" spans="1:31" ht="15.75" x14ac:dyDescent="0.25">
      <c r="A329" s="39">
        <v>41852</v>
      </c>
      <c r="S329" s="6">
        <f>25465*1000/31/24/60</f>
        <v>570.45250896057348</v>
      </c>
      <c r="U329" s="10">
        <f>7497*1000/31/24/60</f>
        <v>167.94354838709677</v>
      </c>
      <c r="AC329" s="20">
        <f>25867*1000/31/24/60</f>
        <v>579.4578853046595</v>
      </c>
    </row>
    <row r="330" spans="1:31" ht="15.75" x14ac:dyDescent="0.25">
      <c r="A330" s="39">
        <v>41883</v>
      </c>
      <c r="S330" s="6">
        <f>21528*1000/30/24/60</f>
        <v>498.33333333333331</v>
      </c>
      <c r="U330" s="10">
        <f>7375*1000/30/24/60</f>
        <v>170.71759259259261</v>
      </c>
      <c r="AC330" s="20">
        <f>30374*1000/30/24/60</f>
        <v>703.10185185185185</v>
      </c>
    </row>
    <row r="331" spans="1:31" ht="15.75" x14ac:dyDescent="0.25">
      <c r="A331" s="39">
        <v>41913</v>
      </c>
      <c r="S331" s="6">
        <v>508</v>
      </c>
      <c r="U331" s="10">
        <v>173</v>
      </c>
      <c r="AC331" s="20">
        <v>646</v>
      </c>
      <c r="AE331" s="20">
        <v>682</v>
      </c>
    </row>
    <row r="332" spans="1:31" ht="15.75" x14ac:dyDescent="0.25">
      <c r="A332" s="39">
        <v>41944</v>
      </c>
      <c r="S332" s="6">
        <v>635</v>
      </c>
      <c r="AC332" s="20">
        <v>659</v>
      </c>
      <c r="AE332" s="20">
        <v>697</v>
      </c>
    </row>
    <row r="333" spans="1:31" ht="15.75" x14ac:dyDescent="0.25">
      <c r="A333" s="39">
        <v>41974</v>
      </c>
      <c r="S333" s="6">
        <v>679</v>
      </c>
      <c r="AC333" s="20">
        <v>658</v>
      </c>
      <c r="AE333" s="20">
        <v>696</v>
      </c>
    </row>
    <row r="334" spans="1:31" ht="15.75" x14ac:dyDescent="0.25">
      <c r="A334" s="39">
        <v>42005</v>
      </c>
      <c r="S334" s="6">
        <v>729.72650089605736</v>
      </c>
      <c r="AC334" s="20">
        <v>623.29749103942652</v>
      </c>
      <c r="AE334" s="20">
        <v>685.73028673835131</v>
      </c>
    </row>
    <row r="335" spans="1:31" ht="15.75" x14ac:dyDescent="0.25">
      <c r="A335" s="39">
        <v>42036</v>
      </c>
      <c r="S335" s="6">
        <v>730.70015624999883</v>
      </c>
      <c r="AC335" s="20">
        <v>625.19841269841277</v>
      </c>
      <c r="AE335" s="20">
        <v>690.02976190476193</v>
      </c>
    </row>
    <row r="336" spans="1:31" ht="15.75" x14ac:dyDescent="0.25">
      <c r="A336" s="39">
        <v>42064</v>
      </c>
      <c r="S336" s="6">
        <v>741.94258736559198</v>
      </c>
      <c r="AE336" s="20">
        <v>700.17921146953415</v>
      </c>
    </row>
    <row r="337" spans="1:31" ht="15.75" x14ac:dyDescent="0.25">
      <c r="A337" s="39">
        <v>42095</v>
      </c>
      <c r="S337" s="6">
        <v>532.32250925925871</v>
      </c>
      <c r="AE337" s="20">
        <v>682.75462962962956</v>
      </c>
    </row>
    <row r="338" spans="1:31" ht="15.75" x14ac:dyDescent="0.25">
      <c r="A338" s="39">
        <v>42125</v>
      </c>
      <c r="E338" s="10">
        <v>737.20467965949751</v>
      </c>
      <c r="S338" s="6">
        <v>691.5491778673852</v>
      </c>
      <c r="AE338" s="20">
        <v>697.7598566308244</v>
      </c>
    </row>
    <row r="339" spans="1:31" ht="15.75" x14ac:dyDescent="0.25">
      <c r="A339" s="39">
        <v>42156</v>
      </c>
      <c r="E339" s="10">
        <v>729.14888888888959</v>
      </c>
      <c r="S339" s="6">
        <v>725.36930555555443</v>
      </c>
      <c r="AE339" s="20">
        <v>683.64695340501794</v>
      </c>
    </row>
    <row r="340" spans="1:31" ht="15.75" x14ac:dyDescent="0.25">
      <c r="A340" s="39">
        <v>42186</v>
      </c>
      <c r="E340" s="10">
        <v>727.09343413978434</v>
      </c>
      <c r="S340" s="6">
        <v>744.2747401433686</v>
      </c>
      <c r="AE340" s="20">
        <v>678.80824372759855</v>
      </c>
    </row>
    <row r="341" spans="1:31" ht="15.75" x14ac:dyDescent="0.25">
      <c r="A341" s="39">
        <v>42217</v>
      </c>
      <c r="E341" s="10">
        <v>731.15518369175561</v>
      </c>
      <c r="S341" s="6">
        <v>754.22574820788475</v>
      </c>
      <c r="AE341" s="20">
        <v>705.46594982078864</v>
      </c>
    </row>
    <row r="342" spans="1:31" ht="15.75" x14ac:dyDescent="0.25">
      <c r="A342" s="39">
        <v>42248</v>
      </c>
      <c r="E342" s="10">
        <f>33599*1000/30/24/60</f>
        <v>777.75462962962968</v>
      </c>
      <c r="S342" s="6">
        <f>32317*1000/30/24/60</f>
        <v>748.0787037037037</v>
      </c>
      <c r="AE342" s="20">
        <f>24560*1000/30/24/60</f>
        <v>568.51851851851848</v>
      </c>
    </row>
    <row r="343" spans="1:31" ht="15.75" x14ac:dyDescent="0.25">
      <c r="A343" s="39">
        <v>42278</v>
      </c>
      <c r="E343" s="10">
        <f>34905*1000/30/24/60</f>
        <v>807.98611111111109</v>
      </c>
      <c r="S343" s="6">
        <f>33055*1000/31/24/60</f>
        <v>740.47939068100345</v>
      </c>
      <c r="AE343" s="20">
        <f>28602*1000/30/24/60</f>
        <v>662.08333333333337</v>
      </c>
    </row>
    <row r="344" spans="1:31" ht="15.75" x14ac:dyDescent="0.25">
      <c r="A344" s="39">
        <v>42309</v>
      </c>
      <c r="E344" s="10">
        <f>34374*1000/30/24/60</f>
        <v>795.69444444444446</v>
      </c>
      <c r="S344" s="6">
        <f>32239*1000/30/24/60</f>
        <v>746.27314814814804</v>
      </c>
      <c r="AE344" s="20">
        <f>29211*1000/30/24/60</f>
        <v>676.18055555555554</v>
      </c>
    </row>
    <row r="345" spans="1:31" ht="15.75" x14ac:dyDescent="0.25">
      <c r="A345" s="39">
        <v>42339</v>
      </c>
      <c r="E345" s="10">
        <f>34647*1000/30/24/60</f>
        <v>802.01388888888891</v>
      </c>
      <c r="S345" s="6">
        <f>33395*1000/31/24/60</f>
        <v>748.09587813620067</v>
      </c>
      <c r="AE345" s="20">
        <f>30269*1000/30/24/60</f>
        <v>700.67129629629619</v>
      </c>
    </row>
    <row r="346" spans="1:31" ht="15.75" x14ac:dyDescent="0.25">
      <c r="A346" s="39">
        <v>42370</v>
      </c>
      <c r="E346" s="10">
        <f>34952*1000/31/24/60</f>
        <v>782.97491039426518</v>
      </c>
      <c r="S346" s="6">
        <f>32377*1000/31/24/60</f>
        <v>725.29121863799287</v>
      </c>
      <c r="AE346" s="20">
        <f>30982*1000/31/24/60</f>
        <v>694.04121863799287</v>
      </c>
    </row>
    <row r="347" spans="1:31" ht="15.75" x14ac:dyDescent="0.25">
      <c r="A347" s="39">
        <v>42401</v>
      </c>
      <c r="E347" s="10">
        <f>30246*1000/29/24/60</f>
        <v>724.28160919540232</v>
      </c>
      <c r="S347" s="6">
        <f>31471*1000/29/24/60</f>
        <v>753.61590038314171</v>
      </c>
      <c r="AE347" s="20">
        <f>28927*1000/29/24/60</f>
        <v>692.69636015325671</v>
      </c>
    </row>
    <row r="348" spans="1:31" ht="15.75" x14ac:dyDescent="0.25">
      <c r="A348" s="39">
        <v>42430</v>
      </c>
      <c r="C348" s="11">
        <f>22320*1000/31/24/60</f>
        <v>500</v>
      </c>
      <c r="E348" s="10">
        <f>35917*1000/31/24/60</f>
        <v>804.59229390681003</v>
      </c>
      <c r="S348" s="6">
        <f>32673*1000/31/24/60</f>
        <v>731.92204301075265</v>
      </c>
      <c r="AE348" s="20">
        <f>30931*1000/31/24/60</f>
        <v>692.89874551971332</v>
      </c>
    </row>
    <row r="349" spans="1:31" ht="15.75" x14ac:dyDescent="0.25">
      <c r="A349" s="39">
        <v>42461</v>
      </c>
      <c r="C349" s="11">
        <v>500</v>
      </c>
      <c r="E349" s="10">
        <v>792</v>
      </c>
      <c r="S349" s="6">
        <v>754</v>
      </c>
      <c r="AE349" s="20">
        <v>675</v>
      </c>
    </row>
    <row r="350" spans="1:31" ht="15.75" x14ac:dyDescent="0.25">
      <c r="A350" s="39">
        <v>42491</v>
      </c>
      <c r="C350" s="11">
        <v>500</v>
      </c>
      <c r="E350" s="10">
        <v>786</v>
      </c>
      <c r="S350" s="6">
        <v>745</v>
      </c>
      <c r="AE350" s="20">
        <v>690</v>
      </c>
    </row>
    <row r="351" spans="1:31" ht="15.75" x14ac:dyDescent="0.25">
      <c r="A351" s="39">
        <v>42522</v>
      </c>
      <c r="C351" s="11">
        <v>500</v>
      </c>
      <c r="E351" s="10">
        <v>782.8966921296302</v>
      </c>
      <c r="S351" s="6">
        <v>751.81584722222215</v>
      </c>
      <c r="AE351" s="20">
        <v>713.00925925925924</v>
      </c>
    </row>
    <row r="352" spans="1:31" ht="15.75" x14ac:dyDescent="0.25">
      <c r="A352" s="39">
        <v>42552</v>
      </c>
      <c r="C352" s="13">
        <v>477</v>
      </c>
      <c r="E352" s="10">
        <v>748.57164102563991</v>
      </c>
      <c r="S352" s="14">
        <v>497.008547008547</v>
      </c>
      <c r="AE352" s="20">
        <v>658.16239316239319</v>
      </c>
    </row>
    <row r="353" spans="1:33" ht="15.75" x14ac:dyDescent="0.25">
      <c r="A353" s="39">
        <v>42583</v>
      </c>
      <c r="C353" s="15">
        <v>713</v>
      </c>
      <c r="E353" s="10">
        <v>781.71223566308333</v>
      </c>
      <c r="S353" s="6">
        <v>747.62544802867387</v>
      </c>
      <c r="AE353" s="20">
        <v>690.00896057347677</v>
      </c>
    </row>
    <row r="354" spans="1:33" ht="15.75" x14ac:dyDescent="0.25">
      <c r="A354" s="39">
        <v>42614</v>
      </c>
      <c r="C354" s="15">
        <v>674.83796296296305</v>
      </c>
      <c r="E354" s="10">
        <v>778.5568379629625</v>
      </c>
      <c r="S354" s="6">
        <v>764.62962962962968</v>
      </c>
      <c r="AE354" s="20">
        <v>694.21296296296293</v>
      </c>
    </row>
    <row r="355" spans="1:33" ht="15.75" x14ac:dyDescent="0.25">
      <c r="A355" s="39">
        <v>42644</v>
      </c>
      <c r="C355" s="15">
        <v>648.23028673835131</v>
      </c>
      <c r="E355" s="10">
        <v>782.00372983870955</v>
      </c>
      <c r="S355" s="6">
        <v>778.27060931899655</v>
      </c>
      <c r="AE355" s="20">
        <v>684.90143369175632</v>
      </c>
    </row>
    <row r="356" spans="1:33" ht="15.75" x14ac:dyDescent="0.25">
      <c r="A356" s="39">
        <v>42675</v>
      </c>
      <c r="C356" s="15">
        <v>613</v>
      </c>
      <c r="E356" s="10">
        <v>731</v>
      </c>
      <c r="S356" s="6">
        <v>774</v>
      </c>
      <c r="AE356" s="20">
        <v>683</v>
      </c>
    </row>
    <row r="357" spans="1:33" ht="15.75" x14ac:dyDescent="0.25">
      <c r="A357" s="39">
        <v>42705</v>
      </c>
      <c r="C357" s="11">
        <v>644</v>
      </c>
      <c r="E357" s="10">
        <v>788</v>
      </c>
      <c r="S357" s="6">
        <v>781</v>
      </c>
      <c r="AG357" s="16">
        <v>742.02508960573482</v>
      </c>
    </row>
    <row r="358" spans="1:33" ht="15.75" x14ac:dyDescent="0.25">
      <c r="A358" s="39">
        <v>42736</v>
      </c>
      <c r="C358" s="11">
        <v>691</v>
      </c>
      <c r="E358" s="10">
        <v>777</v>
      </c>
      <c r="S358" s="6">
        <v>798</v>
      </c>
      <c r="AG358" s="16">
        <v>745.79749103942663</v>
      </c>
    </row>
    <row r="359" spans="1:33" ht="15.75" x14ac:dyDescent="0.25">
      <c r="A359" s="39">
        <v>42767</v>
      </c>
      <c r="C359" s="16">
        <v>688.34325396825398</v>
      </c>
      <c r="E359" s="16">
        <v>754.38988095238096</v>
      </c>
      <c r="S359" s="17">
        <v>799.7519841269841</v>
      </c>
      <c r="AG359" s="16">
        <v>746.15575396825398</v>
      </c>
    </row>
    <row r="360" spans="1:33" ht="15.75" x14ac:dyDescent="0.25">
      <c r="A360" s="39">
        <v>42795</v>
      </c>
      <c r="C360" s="16">
        <v>673.2078853046595</v>
      </c>
      <c r="E360" s="16">
        <v>783.69754480286724</v>
      </c>
      <c r="S360" s="17">
        <v>790.54659498207877</v>
      </c>
      <c r="AG360" s="16">
        <v>720.75492831541226</v>
      </c>
    </row>
    <row r="361" spans="1:33" ht="15.75" x14ac:dyDescent="0.25">
      <c r="A361" s="39">
        <v>42826</v>
      </c>
      <c r="C361" s="16">
        <v>640.16203703703707</v>
      </c>
      <c r="E361" s="16">
        <v>783.73497916666656</v>
      </c>
      <c r="G361" s="16">
        <v>148.42592592592601</v>
      </c>
      <c r="S361" s="17">
        <v>788.7037037037037</v>
      </c>
      <c r="AG361" s="16">
        <v>717.06018518518511</v>
      </c>
    </row>
    <row r="362" spans="1:33" ht="15.75" x14ac:dyDescent="0.25">
      <c r="A362" s="39">
        <v>42856</v>
      </c>
      <c r="C362" s="16">
        <v>485.97670250896061</v>
      </c>
      <c r="E362" s="16">
        <v>789.87692428315427</v>
      </c>
      <c r="G362" s="16">
        <v>156.40681003584228</v>
      </c>
      <c r="S362" s="17">
        <v>794.06362007168457</v>
      </c>
      <c r="AG362" s="16">
        <v>726.36200716845872</v>
      </c>
    </row>
    <row r="363" spans="1:33" ht="15.75" x14ac:dyDescent="0.25">
      <c r="A363" s="39">
        <v>42887</v>
      </c>
      <c r="C363" s="16">
        <v>811.15277777777783</v>
      </c>
      <c r="E363" s="16">
        <v>786.20737499999996</v>
      </c>
      <c r="G363" s="16">
        <v>150.16203703703704</v>
      </c>
      <c r="S363" s="17">
        <v>791.55092592592587</v>
      </c>
      <c r="AG363" s="16">
        <v>715.50925925925924</v>
      </c>
    </row>
    <row r="364" spans="1:33" ht="15.75" x14ac:dyDescent="0.25">
      <c r="A364" s="39">
        <v>42917</v>
      </c>
      <c r="C364" s="16">
        <v>785.73476702508958</v>
      </c>
      <c r="E364" s="16">
        <v>686.5152195340504</v>
      </c>
      <c r="G364" s="16">
        <v>154.77150537634409</v>
      </c>
      <c r="S364" s="17">
        <v>772.55824372759844</v>
      </c>
      <c r="AG364" s="16">
        <v>728.62903225806451</v>
      </c>
    </row>
    <row r="365" spans="1:33" ht="15.75" x14ac:dyDescent="0.25">
      <c r="A365" s="39">
        <v>42948</v>
      </c>
      <c r="C365" s="16">
        <v>298.36469534050178</v>
      </c>
      <c r="E365" s="16">
        <v>692.69713261648747</v>
      </c>
      <c r="G365" s="16">
        <v>64.560931899641574</v>
      </c>
      <c r="S365" s="17">
        <v>776.09767025089616</v>
      </c>
      <c r="AG365" s="16">
        <v>728.80824372759844</v>
      </c>
    </row>
    <row r="366" spans="1:33" ht="15.75" x14ac:dyDescent="0.25">
      <c r="A366" s="39">
        <v>42979</v>
      </c>
      <c r="C366" s="18"/>
      <c r="E366" s="18"/>
      <c r="G366" s="18"/>
      <c r="S366" s="19"/>
      <c r="AG366" s="18"/>
    </row>
    <row r="367" spans="1:33" ht="15.75" x14ac:dyDescent="0.25">
      <c r="A367" s="39">
        <v>43009</v>
      </c>
      <c r="C367" s="18"/>
      <c r="E367" s="18"/>
      <c r="G367" s="18"/>
      <c r="S367" s="19"/>
      <c r="AG367" s="18"/>
    </row>
    <row r="368" spans="1:33" ht="15.75" x14ac:dyDescent="0.25">
      <c r="A368" s="39">
        <v>43040</v>
      </c>
      <c r="C368" s="18"/>
      <c r="E368" s="18"/>
      <c r="G368" s="18"/>
      <c r="S368" s="19"/>
      <c r="AG368" s="18"/>
    </row>
    <row r="369" spans="1:33" ht="15.75" x14ac:dyDescent="0.25">
      <c r="A369" s="39">
        <v>43070</v>
      </c>
      <c r="C369" s="18"/>
      <c r="E369" s="18"/>
      <c r="G369" s="18"/>
      <c r="S369" s="19"/>
      <c r="AG369" s="18"/>
    </row>
    <row r="370" spans="1:33" ht="15.75" x14ac:dyDescent="0.25">
      <c r="A370" s="39">
        <v>43101</v>
      </c>
      <c r="C370" s="16">
        <v>666.24103942652334</v>
      </c>
      <c r="E370" s="16">
        <v>785.70793906809979</v>
      </c>
      <c r="G370" s="16">
        <v>2422.9614695340501</v>
      </c>
      <c r="S370" s="17">
        <v>802.50896057347677</v>
      </c>
      <c r="AE370" s="16">
        <v>687.85842293906808</v>
      </c>
      <c r="AG370" s="16">
        <v>748.45430107526886</v>
      </c>
    </row>
    <row r="371" spans="1:33" ht="15.75" x14ac:dyDescent="0.25">
      <c r="A371" s="39">
        <v>43132</v>
      </c>
      <c r="C371" s="16">
        <v>599.52941716269606</v>
      </c>
      <c r="E371" s="16">
        <v>788.4765128968254</v>
      </c>
      <c r="G371" s="16">
        <v>194.27083333333334</v>
      </c>
      <c r="S371" s="17">
        <v>796.23015873015879</v>
      </c>
      <c r="AE371" s="16">
        <v>692.78273809523807</v>
      </c>
      <c r="AG371" s="16">
        <v>748.05059523809518</v>
      </c>
    </row>
    <row r="372" spans="1:33" ht="15.75" x14ac:dyDescent="0.25">
      <c r="A372" s="39">
        <v>43160</v>
      </c>
      <c r="C372" s="16">
        <v>678.07196236559355</v>
      </c>
      <c r="E372" s="16">
        <v>780.75852150537719</v>
      </c>
      <c r="G372" s="16">
        <v>189.00089605734769</v>
      </c>
      <c r="S372" s="17">
        <v>788.03763440860223</v>
      </c>
      <c r="AE372" s="16">
        <v>684.45340501792111</v>
      </c>
      <c r="AG372" s="16">
        <v>750.34722222222217</v>
      </c>
    </row>
    <row r="373" spans="1:33" ht="15.75" x14ac:dyDescent="0.25">
      <c r="A373" s="39">
        <v>43191</v>
      </c>
      <c r="C373" s="16">
        <v>585.53240740740739</v>
      </c>
      <c r="E373" s="16">
        <v>779.84072685185129</v>
      </c>
      <c r="G373" s="16">
        <v>191.75925925925924</v>
      </c>
      <c r="S373" s="17">
        <v>782.31481481481478</v>
      </c>
      <c r="AE373" s="16">
        <v>700.71759259259261</v>
      </c>
      <c r="AG373" s="16">
        <v>739.12037037037032</v>
      </c>
    </row>
    <row r="374" spans="1:33" ht="15.75" x14ac:dyDescent="0.25">
      <c r="A374" s="39">
        <v>43221</v>
      </c>
      <c r="E374" s="16">
        <v>789.76925403225812</v>
      </c>
      <c r="G374" s="16">
        <v>180.5779569892473</v>
      </c>
      <c r="S374" s="17">
        <v>792.02508960573482</v>
      </c>
      <c r="AE374" s="16">
        <v>693.48118279569894</v>
      </c>
      <c r="AG374" s="16">
        <v>740.59363799283153</v>
      </c>
    </row>
    <row r="375" spans="1:33" ht="15.75" x14ac:dyDescent="0.25">
      <c r="A375" s="39">
        <v>43252</v>
      </c>
      <c r="E375" s="16">
        <v>792.14184027777776</v>
      </c>
      <c r="G375" s="16">
        <v>204.49074074074076</v>
      </c>
      <c r="S375" s="17">
        <v>790.99537037037032</v>
      </c>
      <c r="AE375" s="16">
        <v>688.42592592592598</v>
      </c>
      <c r="AG375" s="16">
        <v>741.04861111111109</v>
      </c>
    </row>
    <row r="376" spans="1:33" ht="15.75" x14ac:dyDescent="0.25">
      <c r="A376" s="39">
        <v>43282</v>
      </c>
      <c r="E376" s="16">
        <v>713.69004256272399</v>
      </c>
      <c r="S376" s="17">
        <v>779.56989247311833</v>
      </c>
      <c r="AE376" s="16">
        <v>687.32078853046596</v>
      </c>
      <c r="AG376" s="16">
        <v>722.63440860215053</v>
      </c>
    </row>
    <row r="377" spans="1:33" ht="15.75" x14ac:dyDescent="0.25">
      <c r="A377" s="39">
        <v>43313</v>
      </c>
      <c r="E377" s="16">
        <v>787.22082661290426</v>
      </c>
      <c r="S377" s="17">
        <v>782.10125448028668</v>
      </c>
      <c r="AE377" s="16">
        <v>687.02956989247309</v>
      </c>
      <c r="AG377" s="16">
        <v>731.02598566308245</v>
      </c>
    </row>
    <row r="378" spans="1:33" ht="15.75" x14ac:dyDescent="0.25">
      <c r="A378" s="39">
        <v>43344</v>
      </c>
      <c r="E378" s="16">
        <v>756.71238425925924</v>
      </c>
      <c r="S378" s="17">
        <v>683.84259259259261</v>
      </c>
      <c r="AE378" s="16">
        <v>675.0462962962963</v>
      </c>
      <c r="AG378" s="16">
        <v>723.95138888888891</v>
      </c>
    </row>
    <row r="379" spans="1:33" ht="15.75" x14ac:dyDescent="0.25">
      <c r="A379" s="39">
        <v>43374</v>
      </c>
      <c r="E379" s="16">
        <v>696.84170176223131</v>
      </c>
      <c r="S379" s="17">
        <v>789.31451612903231</v>
      </c>
      <c r="AG379" s="16">
        <v>735.78405017921148</v>
      </c>
    </row>
    <row r="380" spans="1:33" ht="15.75" x14ac:dyDescent="0.25">
      <c r="A380" s="39">
        <v>43405</v>
      </c>
      <c r="E380" s="16">
        <v>776.1889938271737</v>
      </c>
      <c r="S380" s="17">
        <v>791.50462962962968</v>
      </c>
      <c r="AG380" s="16">
        <v>706.87731481481489</v>
      </c>
    </row>
    <row r="381" spans="1:33" ht="15.75" x14ac:dyDescent="0.25">
      <c r="A381" s="39">
        <v>43435</v>
      </c>
      <c r="E381" s="16">
        <v>754.79218413978538</v>
      </c>
      <c r="S381" s="17">
        <v>792.04749103942663</v>
      </c>
      <c r="AG381" s="16">
        <v>686.22311827956992</v>
      </c>
    </row>
    <row r="382" spans="1:33" ht="15.75" x14ac:dyDescent="0.25">
      <c r="A382" s="39">
        <v>43466</v>
      </c>
      <c r="E382" s="10">
        <v>801.0035618279569</v>
      </c>
      <c r="S382" s="6">
        <v>799.08154121863799</v>
      </c>
      <c r="AG382" s="16">
        <v>748.2302867383512</v>
      </c>
    </row>
    <row r="383" spans="1:33" ht="15.75" x14ac:dyDescent="0.25">
      <c r="A383" s="39">
        <v>43497</v>
      </c>
      <c r="E383" s="10">
        <v>778.9766617063492</v>
      </c>
      <c r="S383" s="6">
        <v>799.80158730158735</v>
      </c>
      <c r="AG383" s="16">
        <v>707.91170634920638</v>
      </c>
    </row>
    <row r="384" spans="1:33" ht="15.75" x14ac:dyDescent="0.25">
      <c r="A384" s="39">
        <v>43525</v>
      </c>
      <c r="E384" s="10">
        <v>786.66896057347617</v>
      </c>
      <c r="S384" s="6">
        <v>783.4677419354839</v>
      </c>
      <c r="AG384" s="16">
        <v>703.62903225806451</v>
      </c>
    </row>
    <row r="385" spans="1:33" ht="15.75" x14ac:dyDescent="0.25">
      <c r="A385" s="39">
        <v>43556</v>
      </c>
      <c r="E385" s="10">
        <v>780.89506365740738</v>
      </c>
      <c r="S385" s="6">
        <v>785.81018518518522</v>
      </c>
      <c r="AG385" s="16">
        <v>676.15740740740739</v>
      </c>
    </row>
    <row r="386" spans="1:33" ht="15.75" x14ac:dyDescent="0.25">
      <c r="A386" s="39">
        <v>43586</v>
      </c>
      <c r="C386" s="11">
        <v>639.77337813619988</v>
      </c>
      <c r="E386" s="10">
        <v>779.7349831989269</v>
      </c>
      <c r="S386" s="6">
        <v>784.61021505376334</v>
      </c>
      <c r="AG386" s="16">
        <v>675.69444444444446</v>
      </c>
    </row>
    <row r="387" spans="1:33" ht="15.75" x14ac:dyDescent="0.25">
      <c r="A387" s="39">
        <v>43617</v>
      </c>
      <c r="C387" s="11">
        <v>594.07622983871056</v>
      </c>
      <c r="E387" s="10">
        <v>753.46343010752639</v>
      </c>
      <c r="S387" s="6">
        <v>757.43727598566318</v>
      </c>
      <c r="AG387" s="16">
        <v>695.23148148148152</v>
      </c>
    </row>
    <row r="388" spans="1:33" ht="15.75" x14ac:dyDescent="0.25">
      <c r="A388" s="39">
        <v>43647</v>
      </c>
      <c r="C388" s="16">
        <v>609.99103942652323</v>
      </c>
      <c r="E388" s="20">
        <v>733.98210304659335</v>
      </c>
      <c r="S388" s="17">
        <v>781.76523297491042</v>
      </c>
      <c r="AG388" s="16">
        <v>646.55017921146953</v>
      </c>
    </row>
    <row r="389" spans="1:33" ht="15.75" x14ac:dyDescent="0.25">
      <c r="A389" s="39">
        <v>43678</v>
      </c>
      <c r="C389" s="16">
        <v>609.99103942652323</v>
      </c>
      <c r="E389" s="20">
        <v>746.27333781362165</v>
      </c>
      <c r="S389" s="17">
        <v>781.89964157706095</v>
      </c>
      <c r="AG389" s="16">
        <v>681.92204301075265</v>
      </c>
    </row>
    <row r="390" spans="1:33" ht="15.75" x14ac:dyDescent="0.25">
      <c r="A390" s="39">
        <v>43709</v>
      </c>
      <c r="C390" s="16">
        <v>610.71759259259261</v>
      </c>
      <c r="E390" s="16">
        <v>683.61111111111109</v>
      </c>
      <c r="S390" s="17">
        <v>780.81018518518522</v>
      </c>
    </row>
    <row r="391" spans="1:33" x14ac:dyDescent="0.25">
      <c r="A391" s="40">
        <v>43739</v>
      </c>
      <c r="C391" s="16">
        <v>708.25672267025141</v>
      </c>
      <c r="E391" s="16">
        <v>684.99103942652334</v>
      </c>
      <c r="S391" s="17">
        <v>782.52688172043008</v>
      </c>
    </row>
    <row r="392" spans="1:33" x14ac:dyDescent="0.25">
      <c r="A392" s="40">
        <v>43770</v>
      </c>
      <c r="C392" s="16">
        <v>632.59259259259261</v>
      </c>
      <c r="E392" s="16">
        <v>685</v>
      </c>
      <c r="S392" s="17">
        <v>782.36111111111109</v>
      </c>
    </row>
    <row r="393" spans="1:33" x14ac:dyDescent="0.25">
      <c r="A393" s="40">
        <v>43800</v>
      </c>
      <c r="C393" s="16">
        <v>632.5940860215054</v>
      </c>
      <c r="E393" s="16">
        <v>684.99103942652334</v>
      </c>
      <c r="S393" s="17">
        <v>786.33512544802863</v>
      </c>
    </row>
    <row r="394" spans="1:33" x14ac:dyDescent="0.25">
      <c r="A394" s="40">
        <v>43831</v>
      </c>
      <c r="C394" s="16">
        <v>632.5940860215054</v>
      </c>
      <c r="E394" s="16">
        <v>684.99103942652334</v>
      </c>
      <c r="S394" s="16">
        <v>789.78494623655911</v>
      </c>
    </row>
    <row r="395" spans="1:33" x14ac:dyDescent="0.25">
      <c r="A395" s="40">
        <v>43862</v>
      </c>
      <c r="C395" s="16">
        <v>632.59099616858236</v>
      </c>
      <c r="E395" s="16">
        <v>684.99103942652334</v>
      </c>
      <c r="S395" s="16">
        <v>790.82854406130275</v>
      </c>
    </row>
    <row r="396" spans="1:33" x14ac:dyDescent="0.25">
      <c r="A396" s="40">
        <v>43891</v>
      </c>
      <c r="C396" s="16">
        <v>632.5940860215054</v>
      </c>
      <c r="E396" s="16">
        <v>684.99103942652334</v>
      </c>
      <c r="S396" s="16">
        <v>799.01433691756279</v>
      </c>
    </row>
    <row r="397" spans="1:33" x14ac:dyDescent="0.25">
      <c r="A397" s="40">
        <v>43922</v>
      </c>
      <c r="C397" s="16">
        <v>632.59259259259261</v>
      </c>
      <c r="E397" s="16">
        <v>684.99103942652334</v>
      </c>
      <c r="S397" s="16">
        <v>801.41203703703695</v>
      </c>
    </row>
    <row r="398" spans="1:33" x14ac:dyDescent="0.25">
      <c r="A398" s="40">
        <v>43952</v>
      </c>
      <c r="C398" s="16">
        <v>632.5940860215054</v>
      </c>
      <c r="E398" s="16">
        <v>684.99103942652334</v>
      </c>
      <c r="S398" s="16">
        <v>795.45250896057337</v>
      </c>
    </row>
    <row r="399" spans="1:33" x14ac:dyDescent="0.25">
      <c r="A399" s="40">
        <v>43983</v>
      </c>
      <c r="C399" s="16">
        <v>632.59259259259261</v>
      </c>
      <c r="E399" s="16">
        <v>684.99103942652334</v>
      </c>
      <c r="S399" s="16">
        <v>788.33333333333337</v>
      </c>
    </row>
    <row r="400" spans="1:33" x14ac:dyDescent="0.25">
      <c r="A400" s="40">
        <v>44013</v>
      </c>
      <c r="C400" s="16">
        <v>632.5940860215054</v>
      </c>
      <c r="E400" s="16">
        <v>723.83512544802875</v>
      </c>
      <c r="S400" s="16">
        <v>781.85483870967744</v>
      </c>
    </row>
    <row r="401" spans="1:19" x14ac:dyDescent="0.25">
      <c r="A401" s="40">
        <v>44044</v>
      </c>
      <c r="C401" s="16">
        <v>632.5940860215054</v>
      </c>
      <c r="E401" s="16">
        <v>714.37878584229395</v>
      </c>
      <c r="S401" s="16">
        <v>781.25</v>
      </c>
    </row>
    <row r="402" spans="1:19" x14ac:dyDescent="0.25">
      <c r="A402" s="40">
        <v>44075</v>
      </c>
      <c r="C402" s="16">
        <v>632.59259259259261</v>
      </c>
      <c r="E402" s="16">
        <v>718.50597222222223</v>
      </c>
      <c r="S402" s="16">
        <v>784.4675925925925</v>
      </c>
    </row>
    <row r="403" spans="1:19" x14ac:dyDescent="0.25">
      <c r="A403" s="40">
        <v>44105</v>
      </c>
      <c r="C403" s="16">
        <v>632.5940860215054</v>
      </c>
      <c r="E403" s="16">
        <v>708.35483870967744</v>
      </c>
      <c r="S403" s="16">
        <v>782.45967741935488</v>
      </c>
    </row>
    <row r="404" spans="1:19" x14ac:dyDescent="0.25">
      <c r="A404" s="40">
        <v>44136</v>
      </c>
      <c r="C404" s="16">
        <v>429.95370370370375</v>
      </c>
      <c r="E404" s="16">
        <v>722.3655555555556</v>
      </c>
      <c r="S404" s="16">
        <v>784.60648148148141</v>
      </c>
    </row>
    <row r="405" spans="1:19" x14ac:dyDescent="0.25">
      <c r="A405" s="40">
        <v>44166</v>
      </c>
      <c r="C405" s="16">
        <v>745.97222222222206</v>
      </c>
      <c r="E405" s="16">
        <v>719.12564964157707</v>
      </c>
      <c r="S405" s="16">
        <v>791.28584229390674</v>
      </c>
    </row>
    <row r="406" spans="1:19" x14ac:dyDescent="0.25">
      <c r="A406" s="40">
        <v>44197</v>
      </c>
      <c r="C406" s="16">
        <v>628.30667562724011</v>
      </c>
      <c r="E406" s="16">
        <v>722.54220430107523</v>
      </c>
      <c r="S406" s="16">
        <v>792.3835125448029</v>
      </c>
    </row>
    <row r="407" spans="1:19" x14ac:dyDescent="0.25">
      <c r="A407" s="40">
        <v>44228</v>
      </c>
      <c r="C407" s="16">
        <v>624.53199404761904</v>
      </c>
      <c r="E407" s="16">
        <v>719.46562500000005</v>
      </c>
      <c r="S407" s="16">
        <v>792.31150793650784</v>
      </c>
    </row>
    <row r="408" spans="1:19" x14ac:dyDescent="0.25">
      <c r="A408" s="40">
        <v>44256</v>
      </c>
      <c r="C408" s="16">
        <v>632.00918458781359</v>
      </c>
      <c r="E408" s="16">
        <v>721.81570340501798</v>
      </c>
      <c r="S408" s="16">
        <v>792.62992831541214</v>
      </c>
    </row>
    <row r="409" spans="1:19" x14ac:dyDescent="0.25">
      <c r="A409" s="40">
        <v>44287</v>
      </c>
      <c r="C409" s="16">
        <v>647.7856481481482</v>
      </c>
      <c r="E409" s="16">
        <v>723.10368055555557</v>
      </c>
      <c r="S409" s="16">
        <v>793.98148148148141</v>
      </c>
    </row>
    <row r="410" spans="1:19" x14ac:dyDescent="0.25">
      <c r="A410" s="40">
        <v>44317</v>
      </c>
      <c r="C410" s="16">
        <v>642.24708781362006</v>
      </c>
      <c r="E410" s="16">
        <v>722.10044802867378</v>
      </c>
      <c r="S410" s="16">
        <v>785.95430107526886</v>
      </c>
    </row>
    <row r="411" spans="1:19" x14ac:dyDescent="0.25">
      <c r="A411" s="40">
        <v>44348</v>
      </c>
      <c r="E411" s="16">
        <v>719.67979166666669</v>
      </c>
      <c r="S411" s="16">
        <v>780.50925925925924</v>
      </c>
    </row>
    <row r="412" spans="1:19" x14ac:dyDescent="0.25">
      <c r="A412" s="40">
        <v>44378</v>
      </c>
      <c r="E412" s="16">
        <v>722.77116935483878</v>
      </c>
      <c r="S412" s="16">
        <v>777.82258064516122</v>
      </c>
    </row>
    <row r="413" spans="1:19" x14ac:dyDescent="0.25">
      <c r="A413" s="40">
        <v>44409</v>
      </c>
      <c r="E413" s="16">
        <v>772</v>
      </c>
      <c r="S413" s="16">
        <v>800</v>
      </c>
    </row>
    <row r="414" spans="1:19" ht="15.75" x14ac:dyDescent="0.25">
      <c r="A414" s="40">
        <v>44440</v>
      </c>
      <c r="E414" s="20">
        <v>774</v>
      </c>
      <c r="S414" s="16">
        <v>800</v>
      </c>
    </row>
    <row r="415" spans="1:19" ht="15.75" x14ac:dyDescent="0.25">
      <c r="A415" s="40">
        <v>44470</v>
      </c>
      <c r="E415" s="20">
        <v>774</v>
      </c>
      <c r="S415" s="16">
        <v>800</v>
      </c>
    </row>
    <row r="416" spans="1:19" ht="15.75" x14ac:dyDescent="0.25">
      <c r="A416" s="40">
        <v>44501</v>
      </c>
      <c r="E416" s="20">
        <v>772</v>
      </c>
      <c r="S416" s="16">
        <v>799</v>
      </c>
    </row>
    <row r="417" spans="1:31" ht="15.75" x14ac:dyDescent="0.25">
      <c r="A417" s="40">
        <v>44531</v>
      </c>
      <c r="E417" s="20">
        <v>775</v>
      </c>
      <c r="S417" s="16">
        <v>805</v>
      </c>
    </row>
    <row r="418" spans="1:31" ht="15.75" x14ac:dyDescent="0.25">
      <c r="A418" s="40">
        <v>44562</v>
      </c>
      <c r="E418" s="20">
        <v>776</v>
      </c>
      <c r="S418" s="16">
        <v>801</v>
      </c>
    </row>
    <row r="419" spans="1:31" ht="15.75" x14ac:dyDescent="0.25">
      <c r="A419" s="40">
        <v>44593</v>
      </c>
      <c r="E419" s="20">
        <v>777</v>
      </c>
      <c r="S419" s="16">
        <v>801</v>
      </c>
    </row>
    <row r="420" spans="1:31" ht="15.75" x14ac:dyDescent="0.25">
      <c r="A420" s="40">
        <v>44621</v>
      </c>
      <c r="E420" s="20">
        <v>776</v>
      </c>
      <c r="S420" s="16">
        <v>802</v>
      </c>
    </row>
    <row r="421" spans="1:31" ht="15.75" x14ac:dyDescent="0.25">
      <c r="A421" s="40">
        <v>44652</v>
      </c>
      <c r="E421" s="20">
        <v>774</v>
      </c>
      <c r="S421" s="16">
        <v>801</v>
      </c>
    </row>
    <row r="422" spans="1:31" ht="15.75" x14ac:dyDescent="0.25">
      <c r="A422" s="40">
        <v>44682</v>
      </c>
      <c r="E422" s="20">
        <v>762</v>
      </c>
      <c r="S422" s="16">
        <v>801</v>
      </c>
      <c r="AE422" s="7">
        <v>709</v>
      </c>
    </row>
    <row r="423" spans="1:31" ht="15.75" x14ac:dyDescent="0.25">
      <c r="A423" s="40">
        <v>44713</v>
      </c>
      <c r="E423" s="20">
        <v>772</v>
      </c>
      <c r="S423" s="16">
        <v>800</v>
      </c>
      <c r="AE423" s="7">
        <v>715</v>
      </c>
    </row>
    <row r="424" spans="1:31" ht="15.75" x14ac:dyDescent="0.25">
      <c r="A424" s="40">
        <v>44743</v>
      </c>
      <c r="E424" s="20">
        <v>772</v>
      </c>
      <c r="S424" s="16">
        <v>803</v>
      </c>
      <c r="AE424" s="7">
        <v>711</v>
      </c>
    </row>
    <row r="425" spans="1:31" ht="15.75" x14ac:dyDescent="0.25">
      <c r="A425" s="40">
        <v>44774</v>
      </c>
      <c r="E425" s="20">
        <v>772</v>
      </c>
      <c r="S425" s="16">
        <v>802</v>
      </c>
      <c r="AE425" s="7">
        <v>709</v>
      </c>
    </row>
    <row r="426" spans="1:31" ht="15.75" x14ac:dyDescent="0.25">
      <c r="A426" s="40">
        <v>44805</v>
      </c>
      <c r="E426" s="20">
        <v>689</v>
      </c>
      <c r="S426" s="16">
        <v>801</v>
      </c>
      <c r="AE426" s="7">
        <v>705</v>
      </c>
    </row>
    <row r="427" spans="1:31" ht="15.75" x14ac:dyDescent="0.25">
      <c r="A427" s="40">
        <v>44835</v>
      </c>
      <c r="E427" s="20">
        <v>672</v>
      </c>
      <c r="S427" s="16">
        <v>801</v>
      </c>
      <c r="AE427" s="7">
        <v>706</v>
      </c>
    </row>
    <row r="428" spans="1:31" ht="15.75" x14ac:dyDescent="0.25">
      <c r="A428" s="40">
        <v>44866</v>
      </c>
      <c r="E428" s="20">
        <v>672</v>
      </c>
      <c r="S428" s="16">
        <v>800</v>
      </c>
      <c r="AE428" s="7">
        <v>704</v>
      </c>
    </row>
    <row r="429" spans="1:31" ht="15.75" x14ac:dyDescent="0.25">
      <c r="A429" s="40">
        <v>44896</v>
      </c>
      <c r="E429" s="20">
        <v>670</v>
      </c>
      <c r="S429" s="16">
        <v>800</v>
      </c>
      <c r="AE429" s="34">
        <v>683</v>
      </c>
    </row>
    <row r="430" spans="1:31" ht="15.75" x14ac:dyDescent="0.25">
      <c r="A430" s="40">
        <v>44927</v>
      </c>
      <c r="E430" s="20">
        <v>668</v>
      </c>
      <c r="S430" s="16">
        <v>800</v>
      </c>
      <c r="AE430" s="7">
        <v>684</v>
      </c>
    </row>
    <row r="431" spans="1:31" ht="15.75" x14ac:dyDescent="0.25">
      <c r="A431" s="40">
        <v>44958</v>
      </c>
      <c r="E431" s="20">
        <v>782</v>
      </c>
      <c r="S431" s="16">
        <v>803</v>
      </c>
      <c r="AE431" s="7">
        <v>700</v>
      </c>
    </row>
    <row r="432" spans="1:31" ht="15.75" x14ac:dyDescent="0.25">
      <c r="A432" s="40">
        <v>44986</v>
      </c>
      <c r="E432" s="20">
        <v>790</v>
      </c>
      <c r="S432" s="16">
        <v>803</v>
      </c>
      <c r="AE432" s="7">
        <v>696</v>
      </c>
    </row>
    <row r="433" spans="1:33" ht="15.75" x14ac:dyDescent="0.25">
      <c r="A433" s="40">
        <v>45017</v>
      </c>
      <c r="E433" s="20">
        <v>796</v>
      </c>
      <c r="S433" s="16">
        <v>800</v>
      </c>
      <c r="AE433" s="7">
        <v>696</v>
      </c>
      <c r="AG433" s="10">
        <f>28961000/30/1440</f>
        <v>670.39351851851848</v>
      </c>
    </row>
    <row r="434" spans="1:33" ht="15.75" x14ac:dyDescent="0.25">
      <c r="A434" s="40">
        <v>45047</v>
      </c>
      <c r="E434" s="20">
        <v>801</v>
      </c>
      <c r="S434" s="21">
        <v>799</v>
      </c>
      <c r="AC434" s="35">
        <v>650</v>
      </c>
      <c r="AG434" s="10">
        <v>651.59</v>
      </c>
    </row>
    <row r="435" spans="1:33" ht="15.75" x14ac:dyDescent="0.25">
      <c r="A435" s="40">
        <v>45078</v>
      </c>
      <c r="E435" s="20">
        <v>650</v>
      </c>
      <c r="S435" s="16">
        <v>821</v>
      </c>
      <c r="AC435" s="7">
        <v>634</v>
      </c>
      <c r="AG435" s="10">
        <f>28758000/31/1440</f>
        <v>644.22043010752691</v>
      </c>
    </row>
    <row r="436" spans="1:33" ht="15.75" x14ac:dyDescent="0.25">
      <c r="A436" s="40">
        <v>45108</v>
      </c>
      <c r="E436" s="20">
        <v>620</v>
      </c>
      <c r="S436" s="16">
        <v>784</v>
      </c>
      <c r="AC436" s="7">
        <v>634</v>
      </c>
      <c r="AG436" s="10">
        <f>22803000/31/1440</f>
        <v>510.81989247311827</v>
      </c>
    </row>
    <row r="437" spans="1:33" ht="15.75" x14ac:dyDescent="0.25">
      <c r="A437" s="40">
        <v>45139</v>
      </c>
      <c r="E437" s="20">
        <v>411</v>
      </c>
      <c r="S437" s="16">
        <v>809</v>
      </c>
      <c r="AC437" s="10">
        <v>637.94000000000005</v>
      </c>
      <c r="AG437" s="7">
        <v>682</v>
      </c>
    </row>
    <row r="438" spans="1:33" ht="15.75" x14ac:dyDescent="0.25">
      <c r="A438" s="40">
        <v>45170</v>
      </c>
      <c r="E438" s="20">
        <v>411</v>
      </c>
      <c r="S438" s="16">
        <v>806</v>
      </c>
      <c r="AC438" s="10">
        <v>290.25</v>
      </c>
      <c r="AG438" s="10">
        <f>30833000/30/1440</f>
        <v>713.72685185185185</v>
      </c>
    </row>
    <row r="439" spans="1:33" ht="15.75" x14ac:dyDescent="0.25">
      <c r="A439" s="40">
        <v>45200</v>
      </c>
      <c r="E439" s="20">
        <v>411</v>
      </c>
      <c r="S439" s="16">
        <v>811</v>
      </c>
      <c r="AC439" s="10">
        <v>755.4</v>
      </c>
      <c r="AG439" s="10">
        <f>36014000/31/1440</f>
        <v>806.76523297491042</v>
      </c>
    </row>
    <row r="440" spans="1:33" ht="15.75" x14ac:dyDescent="0.25">
      <c r="A440" s="40">
        <v>45231</v>
      </c>
      <c r="S440" s="16">
        <v>806</v>
      </c>
      <c r="AC440" s="10">
        <v>647.21</v>
      </c>
      <c r="AG440" s="10">
        <f>35578000/30/1440</f>
        <v>823.56481481481478</v>
      </c>
    </row>
    <row r="441" spans="1:33" ht="15.75" x14ac:dyDescent="0.25">
      <c r="A441" s="40">
        <v>45261</v>
      </c>
      <c r="S441" s="16"/>
      <c r="AC441" s="7"/>
      <c r="AG441" s="7"/>
    </row>
  </sheetData>
  <mergeCells count="21">
    <mergeCell ref="AD2:AE2"/>
    <mergeCell ref="AF2:AG2"/>
    <mergeCell ref="T1:AG1"/>
    <mergeCell ref="N2:O2"/>
    <mergeCell ref="P2:Q2"/>
    <mergeCell ref="R2:S2"/>
    <mergeCell ref="T2:U2"/>
    <mergeCell ref="V2:W2"/>
    <mergeCell ref="AB2:AC2"/>
    <mergeCell ref="X2:Y2"/>
    <mergeCell ref="Z2:AA2"/>
    <mergeCell ref="B1:C1"/>
    <mergeCell ref="D1:E1"/>
    <mergeCell ref="F1:K1"/>
    <mergeCell ref="L1:S1"/>
    <mergeCell ref="B2:C2"/>
    <mergeCell ref="D2:E2"/>
    <mergeCell ref="F2:G2"/>
    <mergeCell ref="H2:I2"/>
    <mergeCell ref="J2:K2"/>
    <mergeCell ref="L2:M2"/>
  </mergeCells>
  <conditionalFormatting sqref="C216:C227">
    <cfRule type="cellIs" dxfId="97" priority="15" operator="greaterThan">
      <formula>700</formula>
    </cfRule>
  </conditionalFormatting>
  <conditionalFormatting sqref="C348:C373">
    <cfRule type="cellIs" dxfId="96" priority="16" operator="greaterThan">
      <formula>700</formula>
    </cfRule>
  </conditionalFormatting>
  <conditionalFormatting sqref="C386:C410">
    <cfRule type="cellIs" dxfId="95" priority="14" operator="greaterThan">
      <formula>700</formula>
    </cfRule>
  </conditionalFormatting>
  <conditionalFormatting sqref="E112:E131">
    <cfRule type="cellIs" dxfId="94" priority="22" operator="greaterThan">
      <formula>700</formula>
    </cfRule>
  </conditionalFormatting>
  <conditionalFormatting sqref="E338:E439">
    <cfRule type="cellIs" dxfId="93" priority="19" operator="greaterThan">
      <formula>700</formula>
    </cfRule>
  </conditionalFormatting>
  <conditionalFormatting sqref="G361:G375">
    <cfRule type="cellIs" dxfId="92" priority="23" operator="greaterThan">
      <formula>700</formula>
    </cfRule>
  </conditionalFormatting>
  <conditionalFormatting sqref="I214:I224">
    <cfRule type="cellIs" dxfId="91" priority="24" operator="greaterThan">
      <formula>700</formula>
    </cfRule>
  </conditionalFormatting>
  <conditionalFormatting sqref="K74:K84">
    <cfRule type="cellIs" dxfId="90" priority="25" operator="greaterThan">
      <formula>700</formula>
    </cfRule>
  </conditionalFormatting>
  <conditionalFormatting sqref="L284:L302">
    <cfRule type="cellIs" dxfId="89" priority="26" operator="greaterThan">
      <formula>700</formula>
    </cfRule>
  </conditionalFormatting>
  <conditionalFormatting sqref="N260:N278">
    <cfRule type="cellIs" dxfId="88" priority="28" operator="greaterThan">
      <formula>700</formula>
    </cfRule>
  </conditionalFormatting>
  <conditionalFormatting sqref="N281:N302">
    <cfRule type="cellIs" dxfId="87" priority="27" operator="greaterThan">
      <formula>700</formula>
    </cfRule>
  </conditionalFormatting>
  <conditionalFormatting sqref="Q90:Q100">
    <cfRule type="cellIs" dxfId="86" priority="29" operator="greaterThan">
      <formula>700</formula>
    </cfRule>
  </conditionalFormatting>
  <conditionalFormatting sqref="S45:S96">
    <cfRule type="cellIs" dxfId="85" priority="34" operator="greaterThan">
      <formula>700</formula>
    </cfRule>
  </conditionalFormatting>
  <conditionalFormatting sqref="S107:S136">
    <cfRule type="cellIs" dxfId="84" priority="38" operator="greaterThan">
      <formula>700</formula>
    </cfRule>
  </conditionalFormatting>
  <conditionalFormatting sqref="S214:S241">
    <cfRule type="cellIs" dxfId="83" priority="33" operator="greaterThan">
      <formula>700</formula>
    </cfRule>
  </conditionalFormatting>
  <conditionalFormatting sqref="S246:S257">
    <cfRule type="cellIs" dxfId="82" priority="32" operator="greaterThan">
      <formula>700</formula>
    </cfRule>
  </conditionalFormatting>
  <conditionalFormatting sqref="S262:S279">
    <cfRule type="cellIs" dxfId="81" priority="31" operator="greaterThan">
      <formula>700</formula>
    </cfRule>
  </conditionalFormatting>
  <conditionalFormatting sqref="S329:S441">
    <cfRule type="cellIs" dxfId="80" priority="30" operator="greaterThan">
      <formula>700</formula>
    </cfRule>
  </conditionalFormatting>
  <conditionalFormatting sqref="U322:U331">
    <cfRule type="cellIs" dxfId="79" priority="13" operator="greaterThan">
      <formula>700</formula>
    </cfRule>
  </conditionalFormatting>
  <conditionalFormatting sqref="V164:V218">
    <cfRule type="cellIs" dxfId="78" priority="12" operator="greaterThan">
      <formula>700</formula>
    </cfRule>
  </conditionalFormatting>
  <conditionalFormatting sqref="V242:V266">
    <cfRule type="cellIs" dxfId="77" priority="11" operator="greaterThan">
      <formula>700</formula>
    </cfRule>
  </conditionalFormatting>
  <conditionalFormatting sqref="W6:W17">
    <cfRule type="cellIs" dxfId="76" priority="10" operator="greaterThan">
      <formula>700</formula>
    </cfRule>
  </conditionalFormatting>
  <conditionalFormatting sqref="X284:X302">
    <cfRule type="cellIs" dxfId="75" priority="9" operator="greaterThan">
      <formula>700</formula>
    </cfRule>
  </conditionalFormatting>
  <conditionalFormatting sqref="AA73:AA84">
    <cfRule type="cellIs" dxfId="74" priority="8" operator="greaterThan">
      <formula>700</formula>
    </cfRule>
  </conditionalFormatting>
  <conditionalFormatting sqref="AC325:AC335">
    <cfRule type="cellIs" dxfId="73" priority="7" operator="greaterThan">
      <formula>700</formula>
    </cfRule>
  </conditionalFormatting>
  <conditionalFormatting sqref="AC434:AC441">
    <cfRule type="cellIs" dxfId="72" priority="6" operator="greaterThan">
      <formula>700</formula>
    </cfRule>
  </conditionalFormatting>
  <conditionalFormatting sqref="AE331:AE356">
    <cfRule type="cellIs" dxfId="71" priority="5" operator="greaterThan">
      <formula>700</formula>
    </cfRule>
  </conditionalFormatting>
  <conditionalFormatting sqref="AE370:AE378">
    <cfRule type="cellIs" dxfId="70" priority="4" operator="greaterThan">
      <formula>700</formula>
    </cfRule>
  </conditionalFormatting>
  <conditionalFormatting sqref="AE422:AE433">
    <cfRule type="cellIs" dxfId="69" priority="3" operator="greaterThan">
      <formula>700</formula>
    </cfRule>
  </conditionalFormatting>
  <conditionalFormatting sqref="AG357:AG389">
    <cfRule type="cellIs" dxfId="68" priority="2" operator="greaterThan">
      <formula>700</formula>
    </cfRule>
  </conditionalFormatting>
  <conditionalFormatting sqref="AG433:AG441">
    <cfRule type="cellIs" dxfId="67" priority="1" operator="greaterThan">
      <formula>700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E29DC-B7E3-493E-9413-6496E4E2EDAC}">
  <dimension ref="A1:R445"/>
  <sheetViews>
    <sheetView workbookViewId="0"/>
  </sheetViews>
  <sheetFormatPr defaultRowHeight="15" x14ac:dyDescent="0.25"/>
  <cols>
    <col min="1" max="1" width="12.7109375" bestFit="1" customWidth="1"/>
    <col min="2" max="2" width="11.7109375" style="5" bestFit="1" customWidth="1"/>
    <col min="3" max="3" width="15.140625" bestFit="1" customWidth="1"/>
    <col min="4" max="5" width="11.7109375" bestFit="1" customWidth="1"/>
    <col min="6" max="6" width="15" bestFit="1" customWidth="1"/>
    <col min="7" max="8" width="7.42578125" bestFit="1" customWidth="1"/>
    <col min="9" max="9" width="15.140625" bestFit="1" customWidth="1"/>
    <col min="10" max="11" width="11.7109375" bestFit="1" customWidth="1"/>
    <col min="12" max="12" width="8.7109375" bestFit="1" customWidth="1"/>
    <col min="13" max="13" width="11.7109375" bestFit="1" customWidth="1"/>
    <col min="14" max="14" width="7.42578125" bestFit="1" customWidth="1"/>
    <col min="15" max="18" width="11.7109375" bestFit="1" customWidth="1"/>
  </cols>
  <sheetData>
    <row r="1" spans="1:18" ht="15.75" x14ac:dyDescent="0.25">
      <c r="A1" s="36"/>
      <c r="B1" s="45" t="s">
        <v>0</v>
      </c>
      <c r="C1" s="46" t="s">
        <v>1</v>
      </c>
      <c r="D1" s="115" t="s">
        <v>2</v>
      </c>
      <c r="E1" s="115"/>
      <c r="F1" s="115"/>
      <c r="G1" s="116" t="s">
        <v>3</v>
      </c>
      <c r="H1" s="116"/>
      <c r="I1" s="116"/>
      <c r="J1" s="116"/>
      <c r="K1" s="117" t="s">
        <v>4</v>
      </c>
      <c r="L1" s="117"/>
      <c r="M1" s="117"/>
      <c r="N1" s="117"/>
      <c r="O1" s="117"/>
      <c r="P1" s="117"/>
      <c r="Q1" s="117"/>
      <c r="R1" s="117"/>
    </row>
    <row r="2" spans="1:18" ht="15.75" x14ac:dyDescent="0.25">
      <c r="A2" s="37" t="s">
        <v>5</v>
      </c>
      <c r="B2" s="22" t="s">
        <v>6</v>
      </c>
      <c r="C2" s="23" t="s">
        <v>7</v>
      </c>
      <c r="D2" s="41" t="s">
        <v>8</v>
      </c>
      <c r="E2" s="41" t="s">
        <v>9</v>
      </c>
      <c r="F2" s="41" t="s">
        <v>10</v>
      </c>
      <c r="G2" s="42" t="s">
        <v>11</v>
      </c>
      <c r="H2" s="42" t="s">
        <v>12</v>
      </c>
      <c r="I2" s="42" t="s">
        <v>13</v>
      </c>
      <c r="J2" s="42" t="s">
        <v>14</v>
      </c>
      <c r="K2" s="43" t="s">
        <v>15</v>
      </c>
      <c r="L2" s="114" t="s">
        <v>16</v>
      </c>
      <c r="M2" s="114"/>
      <c r="N2" s="43" t="s">
        <v>17</v>
      </c>
      <c r="O2" s="43" t="s">
        <v>18</v>
      </c>
      <c r="P2" s="44" t="s">
        <v>19</v>
      </c>
      <c r="Q2" s="44" t="s">
        <v>20</v>
      </c>
      <c r="R2" s="44" t="s">
        <v>21</v>
      </c>
    </row>
    <row r="3" spans="1:18" ht="31.5" x14ac:dyDescent="0.25">
      <c r="A3" s="36"/>
      <c r="B3" s="25" t="s">
        <v>23</v>
      </c>
      <c r="C3" s="27" t="s">
        <v>23</v>
      </c>
      <c r="D3" s="4" t="s">
        <v>23</v>
      </c>
      <c r="E3" s="4" t="s">
        <v>23</v>
      </c>
      <c r="F3" s="4" t="s">
        <v>23</v>
      </c>
      <c r="G3" s="28" t="s">
        <v>22</v>
      </c>
      <c r="H3" s="28" t="s">
        <v>22</v>
      </c>
      <c r="I3" s="29" t="s">
        <v>23</v>
      </c>
      <c r="J3" s="29" t="s">
        <v>23</v>
      </c>
      <c r="K3" s="31" t="s">
        <v>23</v>
      </c>
      <c r="L3" s="30" t="s">
        <v>22</v>
      </c>
      <c r="M3" s="31" t="s">
        <v>23</v>
      </c>
      <c r="N3" s="30" t="s">
        <v>22</v>
      </c>
      <c r="O3" s="31" t="s">
        <v>23</v>
      </c>
      <c r="P3" s="31" t="s">
        <v>23</v>
      </c>
      <c r="Q3" s="31" t="s">
        <v>23</v>
      </c>
      <c r="R3" s="31" t="s">
        <v>23</v>
      </c>
    </row>
    <row r="4" spans="1:18" ht="15.75" x14ac:dyDescent="0.25">
      <c r="A4" s="39">
        <v>31959</v>
      </c>
    </row>
    <row r="5" spans="1:18" ht="15.75" x14ac:dyDescent="0.25">
      <c r="A5" s="39">
        <v>31990</v>
      </c>
    </row>
    <row r="6" spans="1:18" ht="15.75" x14ac:dyDescent="0.25">
      <c r="A6" s="39">
        <v>32021</v>
      </c>
      <c r="M6" s="10">
        <v>152.77777777777777</v>
      </c>
    </row>
    <row r="7" spans="1:18" ht="15.75" x14ac:dyDescent="0.25">
      <c r="A7" s="39">
        <v>32051</v>
      </c>
      <c r="M7" s="10">
        <v>170.25089605734766</v>
      </c>
    </row>
    <row r="8" spans="1:18" ht="15.75" x14ac:dyDescent="0.25">
      <c r="A8" s="39">
        <v>32082</v>
      </c>
      <c r="M8" s="10">
        <v>141.20370370370372</v>
      </c>
    </row>
    <row r="9" spans="1:18" ht="15.75" x14ac:dyDescent="0.25">
      <c r="A9" s="39">
        <v>32112</v>
      </c>
      <c r="M9" s="10">
        <v>138.88888888888889</v>
      </c>
    </row>
    <row r="10" spans="1:18" ht="15.75" x14ac:dyDescent="0.25">
      <c r="A10" s="39">
        <v>32143</v>
      </c>
      <c r="M10" s="10"/>
    </row>
    <row r="11" spans="1:18" ht="15.75" x14ac:dyDescent="0.25">
      <c r="A11" s="39">
        <v>32174</v>
      </c>
      <c r="M11" s="10">
        <v>134.09961685823754</v>
      </c>
    </row>
    <row r="12" spans="1:18" ht="15.75" x14ac:dyDescent="0.25">
      <c r="A12" s="39">
        <v>32203</v>
      </c>
      <c r="M12" s="10">
        <v>734.7670250896058</v>
      </c>
    </row>
    <row r="13" spans="1:18" ht="15.75" x14ac:dyDescent="0.25">
      <c r="A13" s="39">
        <v>32234</v>
      </c>
      <c r="M13" s="10">
        <v>175.92592592592595</v>
      </c>
    </row>
    <row r="14" spans="1:18" ht="15.75" x14ac:dyDescent="0.25">
      <c r="A14" s="39">
        <v>32264</v>
      </c>
      <c r="M14" s="10">
        <v>170.25089605734766</v>
      </c>
    </row>
    <row r="15" spans="1:18" ht="15.75" x14ac:dyDescent="0.25">
      <c r="A15" s="39">
        <v>32295</v>
      </c>
      <c r="M15" s="10">
        <v>175.92592592592595</v>
      </c>
    </row>
    <row r="16" spans="1:18" ht="15.75" x14ac:dyDescent="0.25">
      <c r="A16" s="39">
        <v>32325</v>
      </c>
      <c r="M16" s="10">
        <v>170.25089605734766</v>
      </c>
    </row>
    <row r="17" spans="1:13" ht="15.75" x14ac:dyDescent="0.25">
      <c r="A17" s="39">
        <v>32356</v>
      </c>
      <c r="M17" s="10">
        <v>163.53046594982078</v>
      </c>
    </row>
    <row r="18" spans="1:13" ht="15.75" x14ac:dyDescent="0.25">
      <c r="A18" s="39">
        <v>32387</v>
      </c>
    </row>
    <row r="19" spans="1:13" ht="15.75" x14ac:dyDescent="0.25">
      <c r="A19" s="39">
        <v>32417</v>
      </c>
    </row>
    <row r="20" spans="1:13" ht="15.75" x14ac:dyDescent="0.25">
      <c r="A20" s="39">
        <v>32448</v>
      </c>
    </row>
    <row r="21" spans="1:13" ht="15.75" x14ac:dyDescent="0.25">
      <c r="A21" s="39">
        <v>32478</v>
      </c>
    </row>
    <row r="22" spans="1:13" ht="15.75" x14ac:dyDescent="0.25">
      <c r="A22" s="39">
        <v>32509</v>
      </c>
    </row>
    <row r="23" spans="1:13" ht="15.75" x14ac:dyDescent="0.25">
      <c r="A23" s="39">
        <v>32540</v>
      </c>
    </row>
    <row r="24" spans="1:13" ht="15.75" x14ac:dyDescent="0.25">
      <c r="A24" s="39">
        <v>32568</v>
      </c>
    </row>
    <row r="25" spans="1:13" ht="15.75" x14ac:dyDescent="0.25">
      <c r="A25" s="39">
        <v>32599</v>
      </c>
    </row>
    <row r="26" spans="1:13" ht="15.75" x14ac:dyDescent="0.25">
      <c r="A26" s="39">
        <v>32629</v>
      </c>
    </row>
    <row r="27" spans="1:13" ht="15.75" x14ac:dyDescent="0.25">
      <c r="A27" s="39">
        <v>32660</v>
      </c>
    </row>
    <row r="28" spans="1:13" ht="15.75" x14ac:dyDescent="0.25">
      <c r="A28" s="39">
        <v>32690</v>
      </c>
    </row>
    <row r="29" spans="1:13" ht="15.75" x14ac:dyDescent="0.25">
      <c r="A29" s="39">
        <v>32721</v>
      </c>
    </row>
    <row r="30" spans="1:13" ht="15.75" x14ac:dyDescent="0.25">
      <c r="A30" s="39">
        <v>32752</v>
      </c>
    </row>
    <row r="31" spans="1:13" ht="15.75" x14ac:dyDescent="0.25">
      <c r="A31" s="39">
        <v>32782</v>
      </c>
    </row>
    <row r="32" spans="1:13" ht="15.75" x14ac:dyDescent="0.25">
      <c r="A32" s="39">
        <v>32813</v>
      </c>
    </row>
    <row r="33" spans="1:10" ht="15.75" x14ac:dyDescent="0.25">
      <c r="A33" s="39">
        <v>32843</v>
      </c>
    </row>
    <row r="34" spans="1:10" ht="15.75" x14ac:dyDescent="0.25">
      <c r="A34" s="39">
        <v>32874</v>
      </c>
    </row>
    <row r="35" spans="1:10" ht="15.75" x14ac:dyDescent="0.25">
      <c r="A35" s="39">
        <v>32905</v>
      </c>
    </row>
    <row r="36" spans="1:10" ht="15.75" x14ac:dyDescent="0.25">
      <c r="A36" s="39">
        <v>32933</v>
      </c>
    </row>
    <row r="37" spans="1:10" ht="15.75" x14ac:dyDescent="0.25">
      <c r="A37" s="39">
        <v>32964</v>
      </c>
    </row>
    <row r="38" spans="1:10" ht="15.75" x14ac:dyDescent="0.25">
      <c r="A38" s="39">
        <v>32994</v>
      </c>
    </row>
    <row r="39" spans="1:10" ht="15.75" x14ac:dyDescent="0.25">
      <c r="A39" s="39">
        <v>33025</v>
      </c>
    </row>
    <row r="40" spans="1:10" ht="15.75" x14ac:dyDescent="0.25">
      <c r="A40" s="39">
        <v>33055</v>
      </c>
    </row>
    <row r="41" spans="1:10" ht="15.75" x14ac:dyDescent="0.25">
      <c r="A41" s="39">
        <v>33086</v>
      </c>
    </row>
    <row r="42" spans="1:10" ht="15.75" x14ac:dyDescent="0.25">
      <c r="A42" s="39">
        <v>33117</v>
      </c>
    </row>
    <row r="43" spans="1:10" ht="15.75" x14ac:dyDescent="0.25">
      <c r="A43" s="39">
        <v>33147</v>
      </c>
    </row>
    <row r="44" spans="1:10" ht="15.75" x14ac:dyDescent="0.25">
      <c r="A44" s="39">
        <v>33178</v>
      </c>
    </row>
    <row r="45" spans="1:10" ht="15.75" x14ac:dyDescent="0.25">
      <c r="A45" s="39">
        <v>33208</v>
      </c>
      <c r="J45" s="6">
        <v>658.60215053763443</v>
      </c>
    </row>
    <row r="46" spans="1:10" ht="15.75" x14ac:dyDescent="0.25">
      <c r="A46" s="39">
        <v>33239</v>
      </c>
      <c r="J46" s="6">
        <v>665.32258064516122</v>
      </c>
    </row>
    <row r="47" spans="1:10" ht="15.75" x14ac:dyDescent="0.25">
      <c r="A47" s="39">
        <v>33270</v>
      </c>
      <c r="J47" s="6">
        <v>689.48412698412699</v>
      </c>
    </row>
    <row r="48" spans="1:10" ht="15.75" x14ac:dyDescent="0.25">
      <c r="A48" s="39">
        <v>33298</v>
      </c>
      <c r="J48" s="6">
        <v>645.16129032258073</v>
      </c>
    </row>
    <row r="49" spans="1:10" ht="15.75" x14ac:dyDescent="0.25">
      <c r="A49" s="39">
        <v>33329</v>
      </c>
      <c r="J49" s="6">
        <v>678.24074074074076</v>
      </c>
    </row>
    <row r="50" spans="1:10" ht="15.75" x14ac:dyDescent="0.25">
      <c r="A50" s="39">
        <v>33359</v>
      </c>
      <c r="J50" s="6">
        <v>754.92831541218629</v>
      </c>
    </row>
    <row r="51" spans="1:10" ht="15.75" x14ac:dyDescent="0.25">
      <c r="A51" s="39">
        <v>33390</v>
      </c>
      <c r="J51" s="6">
        <v>664.35185185185185</v>
      </c>
    </row>
    <row r="52" spans="1:10" ht="15.75" x14ac:dyDescent="0.25">
      <c r="A52" s="39">
        <v>33420</v>
      </c>
      <c r="J52" s="6">
        <v>716.84587813620078</v>
      </c>
    </row>
    <row r="53" spans="1:10" ht="15.75" x14ac:dyDescent="0.25">
      <c r="A53" s="39">
        <v>33451</v>
      </c>
      <c r="J53" s="6">
        <v>707.88530465949816</v>
      </c>
    </row>
    <row r="54" spans="1:10" ht="15.75" x14ac:dyDescent="0.25">
      <c r="A54" s="39">
        <v>33482</v>
      </c>
      <c r="J54" s="6">
        <v>592.59259259259261</v>
      </c>
    </row>
    <row r="55" spans="1:10" ht="15.75" x14ac:dyDescent="0.25">
      <c r="A55" s="39">
        <v>33512</v>
      </c>
      <c r="J55" s="6">
        <v>795.25089605734763</v>
      </c>
    </row>
    <row r="56" spans="1:10" ht="15.75" x14ac:dyDescent="0.25">
      <c r="A56" s="39">
        <v>33543</v>
      </c>
      <c r="J56" s="6">
        <v>627.31481481481489</v>
      </c>
    </row>
    <row r="57" spans="1:10" ht="15.75" x14ac:dyDescent="0.25">
      <c r="A57" s="39">
        <v>33573</v>
      </c>
      <c r="J57" s="6">
        <v>627.2401433691756</v>
      </c>
    </row>
    <row r="58" spans="1:10" ht="15.75" x14ac:dyDescent="0.25">
      <c r="A58" s="39">
        <v>33604</v>
      </c>
      <c r="J58" s="6">
        <v>674.95519713261649</v>
      </c>
    </row>
    <row r="59" spans="1:10" ht="15.75" x14ac:dyDescent="0.25">
      <c r="A59" s="39">
        <v>33635</v>
      </c>
      <c r="J59" s="6">
        <v>649.9042145593869</v>
      </c>
    </row>
    <row r="60" spans="1:10" ht="15.75" x14ac:dyDescent="0.25">
      <c r="A60" s="39">
        <v>33664</v>
      </c>
      <c r="J60" s="6">
        <v>644.93727598566306</v>
      </c>
    </row>
    <row r="61" spans="1:10" ht="15.75" x14ac:dyDescent="0.25">
      <c r="A61" s="39">
        <v>33695</v>
      </c>
      <c r="J61" s="6">
        <v>645.83333333333337</v>
      </c>
    </row>
    <row r="62" spans="1:10" ht="15.75" x14ac:dyDescent="0.25">
      <c r="A62" s="39">
        <v>33725</v>
      </c>
      <c r="J62" s="6">
        <v>605.95878136200713</v>
      </c>
    </row>
    <row r="63" spans="1:10" ht="15.75" x14ac:dyDescent="0.25">
      <c r="A63" s="39">
        <v>33756</v>
      </c>
      <c r="J63" s="6">
        <v>658.10185185185185</v>
      </c>
    </row>
    <row r="64" spans="1:10" ht="15.75" x14ac:dyDescent="0.25">
      <c r="A64" s="39">
        <v>33786</v>
      </c>
      <c r="J64" s="6">
        <v>623.87992831541226</v>
      </c>
    </row>
    <row r="65" spans="1:15" ht="15.75" x14ac:dyDescent="0.25">
      <c r="A65" s="39">
        <v>33817</v>
      </c>
      <c r="J65" s="6">
        <v>601.47849462365593</v>
      </c>
    </row>
    <row r="66" spans="1:15" ht="15.75" x14ac:dyDescent="0.25">
      <c r="A66" s="39">
        <v>33848</v>
      </c>
      <c r="J66" s="6">
        <v>601.38888888888891</v>
      </c>
    </row>
    <row r="67" spans="1:15" ht="15.75" x14ac:dyDescent="0.25">
      <c r="A67" s="39">
        <v>33878</v>
      </c>
      <c r="J67" s="6">
        <v>699.82078853046585</v>
      </c>
    </row>
    <row r="68" spans="1:15" ht="15.75" x14ac:dyDescent="0.25">
      <c r="A68" s="39">
        <v>33909</v>
      </c>
      <c r="J68" s="6">
        <v>700</v>
      </c>
    </row>
    <row r="69" spans="1:15" ht="15.75" x14ac:dyDescent="0.25">
      <c r="A69" s="39">
        <v>33939</v>
      </c>
      <c r="J69" s="6">
        <v>699.14874551971332</v>
      </c>
    </row>
    <row r="70" spans="1:15" ht="15.75" x14ac:dyDescent="0.25">
      <c r="A70" s="39">
        <v>33970</v>
      </c>
      <c r="J70" s="6">
        <v>720.00448028673839</v>
      </c>
    </row>
    <row r="71" spans="1:15" ht="15.75" x14ac:dyDescent="0.25">
      <c r="A71" s="39">
        <v>34001</v>
      </c>
      <c r="J71" s="6">
        <v>786.06150793650784</v>
      </c>
    </row>
    <row r="72" spans="1:15" ht="15.75" x14ac:dyDescent="0.25">
      <c r="A72" s="39">
        <v>34029</v>
      </c>
      <c r="J72" s="6">
        <v>696.77419354838707</v>
      </c>
    </row>
    <row r="73" spans="1:15" ht="15.75" x14ac:dyDescent="0.25">
      <c r="A73" s="39">
        <v>34060</v>
      </c>
      <c r="J73" s="6">
        <v>659.07407407407413</v>
      </c>
      <c r="O73" s="33">
        <v>215.04629629629633</v>
      </c>
    </row>
    <row r="74" spans="1:15" ht="15.75" x14ac:dyDescent="0.25">
      <c r="A74" s="39">
        <v>34090</v>
      </c>
      <c r="F74" s="7">
        <v>391.53225806451616</v>
      </c>
      <c r="J74" s="6">
        <v>544.22043010752679</v>
      </c>
      <c r="O74" s="33">
        <v>114.89695340501792</v>
      </c>
    </row>
    <row r="75" spans="1:15" ht="15.75" x14ac:dyDescent="0.25">
      <c r="A75" s="39">
        <v>34121</v>
      </c>
      <c r="F75" s="7">
        <v>590.57870370370381</v>
      </c>
      <c r="J75" s="6">
        <v>1013.125</v>
      </c>
      <c r="O75" s="33">
        <v>260.69444444444446</v>
      </c>
    </row>
    <row r="76" spans="1:15" ht="15.75" x14ac:dyDescent="0.25">
      <c r="A76" s="39">
        <v>34151</v>
      </c>
      <c r="F76" s="7">
        <v>463.93369175627237</v>
      </c>
      <c r="J76" s="6">
        <v>722.24462365591398</v>
      </c>
      <c r="O76" s="33">
        <v>195.56451612903223</v>
      </c>
    </row>
    <row r="77" spans="1:15" ht="15.75" x14ac:dyDescent="0.25">
      <c r="A77" s="39">
        <v>34182</v>
      </c>
      <c r="F77" s="7">
        <v>511.51433691756273</v>
      </c>
      <c r="J77" s="6">
        <v>918.95161290322574</v>
      </c>
      <c r="O77" s="33">
        <v>232.25806451612905</v>
      </c>
    </row>
    <row r="78" spans="1:15" ht="15.75" x14ac:dyDescent="0.25">
      <c r="A78" s="39">
        <v>34213</v>
      </c>
      <c r="F78" s="7"/>
      <c r="J78" s="6"/>
      <c r="O78" s="33"/>
    </row>
    <row r="79" spans="1:15" ht="15.75" x14ac:dyDescent="0.25">
      <c r="A79" s="39">
        <v>34243</v>
      </c>
      <c r="F79" s="7">
        <v>711.71594982078864</v>
      </c>
      <c r="J79" s="6">
        <v>1098.4767025089607</v>
      </c>
      <c r="O79" s="33">
        <v>923.20788530465938</v>
      </c>
    </row>
    <row r="80" spans="1:15" ht="15.75" x14ac:dyDescent="0.25">
      <c r="A80" s="39">
        <v>34274</v>
      </c>
      <c r="F80" s="7">
        <v>550.02314814814815</v>
      </c>
      <c r="J80" s="6">
        <v>767.70833333333337</v>
      </c>
      <c r="O80" s="33">
        <v>230.67129629629633</v>
      </c>
    </row>
    <row r="81" spans="1:15" ht="15.75" x14ac:dyDescent="0.25">
      <c r="A81" s="39">
        <v>34304</v>
      </c>
      <c r="F81" s="7">
        <v>460.08064516129036</v>
      </c>
      <c r="J81" s="6">
        <v>747.8046594982078</v>
      </c>
      <c r="O81" s="33">
        <v>178.00179211469535</v>
      </c>
    </row>
    <row r="82" spans="1:15" ht="15.75" x14ac:dyDescent="0.25">
      <c r="A82" s="39">
        <v>34335</v>
      </c>
      <c r="F82" s="7">
        <v>436.8279569892473</v>
      </c>
      <c r="J82" s="6">
        <v>754.92831541218629</v>
      </c>
      <c r="O82" s="33">
        <v>183.69175627240145</v>
      </c>
    </row>
    <row r="83" spans="1:15" ht="15.75" x14ac:dyDescent="0.25">
      <c r="A83" s="39">
        <v>34366</v>
      </c>
      <c r="F83" s="7">
        <v>451.38888888888886</v>
      </c>
      <c r="J83" s="6">
        <v>736.60714285714289</v>
      </c>
      <c r="O83" s="33">
        <v>186.01190476190473</v>
      </c>
    </row>
    <row r="84" spans="1:15" ht="15.75" x14ac:dyDescent="0.25">
      <c r="A84" s="39">
        <v>34394</v>
      </c>
      <c r="F84" s="7">
        <v>412.18637992831543</v>
      </c>
      <c r="J84" s="6">
        <v>728.04659498207889</v>
      </c>
      <c r="O84" s="33">
        <v>188.17204301075267</v>
      </c>
    </row>
    <row r="85" spans="1:15" ht="15.75" x14ac:dyDescent="0.25">
      <c r="A85" s="39">
        <v>34425</v>
      </c>
      <c r="J85" s="6">
        <v>694.44444444444446</v>
      </c>
    </row>
    <row r="86" spans="1:15" ht="15.75" x14ac:dyDescent="0.25">
      <c r="A86" s="39">
        <v>34455</v>
      </c>
      <c r="J86" s="6">
        <v>640.68100358422942</v>
      </c>
    </row>
    <row r="87" spans="1:15" ht="15.75" x14ac:dyDescent="0.25">
      <c r="A87" s="39">
        <v>34486</v>
      </c>
      <c r="J87" s="6">
        <v>666.66666666666663</v>
      </c>
    </row>
    <row r="88" spans="1:15" ht="15.75" x14ac:dyDescent="0.25">
      <c r="A88" s="39">
        <v>34516</v>
      </c>
      <c r="J88" s="6">
        <v>651.88172043010741</v>
      </c>
    </row>
    <row r="89" spans="1:15" ht="15.75" x14ac:dyDescent="0.25">
      <c r="A89" s="39">
        <v>34547</v>
      </c>
      <c r="J89" s="6">
        <v>651.88172043010741</v>
      </c>
    </row>
    <row r="90" spans="1:15" ht="15.75" x14ac:dyDescent="0.25">
      <c r="A90" s="39">
        <v>34578</v>
      </c>
      <c r="I90" s="8">
        <v>85.648148148148138</v>
      </c>
      <c r="J90" s="6">
        <v>708.33333333333337</v>
      </c>
    </row>
    <row r="91" spans="1:15" ht="15.75" x14ac:dyDescent="0.25">
      <c r="A91" s="39">
        <v>34608</v>
      </c>
      <c r="I91" s="8">
        <v>103.04659498207886</v>
      </c>
      <c r="J91" s="6">
        <v>770.60931899641582</v>
      </c>
    </row>
    <row r="92" spans="1:15" ht="15.75" x14ac:dyDescent="0.25">
      <c r="A92" s="39">
        <v>34639</v>
      </c>
      <c r="I92" s="8">
        <v>180.55555555555557</v>
      </c>
      <c r="J92" s="6">
        <v>664.35185185185185</v>
      </c>
    </row>
    <row r="93" spans="1:15" ht="15.75" x14ac:dyDescent="0.25">
      <c r="A93" s="39">
        <v>34669</v>
      </c>
      <c r="I93" s="8">
        <v>246.41577060931897</v>
      </c>
      <c r="J93" s="6">
        <v>660.84229390681003</v>
      </c>
    </row>
    <row r="94" spans="1:15" ht="15.75" x14ac:dyDescent="0.25">
      <c r="A94" s="39">
        <v>34700</v>
      </c>
      <c r="I94" s="8">
        <v>251.23207885304657</v>
      </c>
      <c r="J94" s="6">
        <v>683.0645161290322</v>
      </c>
    </row>
    <row r="95" spans="1:15" ht="15.75" x14ac:dyDescent="0.25">
      <c r="A95" s="39">
        <v>34731</v>
      </c>
      <c r="I95" s="8">
        <v>754.9355158730159</v>
      </c>
      <c r="J95" s="6">
        <v>686.92956349206349</v>
      </c>
    </row>
    <row r="96" spans="1:15" ht="15.75" x14ac:dyDescent="0.25">
      <c r="A96" s="39">
        <v>34759</v>
      </c>
      <c r="I96" s="8">
        <v>250</v>
      </c>
      <c r="J96" s="6">
        <v>673.07347670250897</v>
      </c>
    </row>
    <row r="97" spans="1:10" ht="15.75" x14ac:dyDescent="0.25">
      <c r="A97" s="39">
        <v>34790</v>
      </c>
      <c r="I97" s="8">
        <v>264.56018518518516</v>
      </c>
    </row>
    <row r="98" spans="1:10" ht="15.75" x14ac:dyDescent="0.25">
      <c r="A98" s="39">
        <v>34820</v>
      </c>
      <c r="I98" s="8">
        <v>207.39247311827958</v>
      </c>
    </row>
    <row r="99" spans="1:10" ht="15.75" x14ac:dyDescent="0.25">
      <c r="A99" s="39">
        <v>34851</v>
      </c>
      <c r="I99" s="8">
        <v>246.99074074074076</v>
      </c>
    </row>
    <row r="100" spans="1:10" ht="15.75" x14ac:dyDescent="0.25">
      <c r="A100" s="39">
        <v>34881</v>
      </c>
      <c r="I100" s="8">
        <v>257.99731182795699</v>
      </c>
    </row>
    <row r="101" spans="1:10" ht="15.75" x14ac:dyDescent="0.25">
      <c r="A101" s="39">
        <v>34912</v>
      </c>
    </row>
    <row r="102" spans="1:10" ht="15.75" x14ac:dyDescent="0.25">
      <c r="A102" s="39">
        <v>34943</v>
      </c>
    </row>
    <row r="103" spans="1:10" ht="15.75" x14ac:dyDescent="0.25">
      <c r="A103" s="39">
        <v>34973</v>
      </c>
    </row>
    <row r="104" spans="1:10" ht="15.75" x14ac:dyDescent="0.25">
      <c r="A104" s="39">
        <v>35004</v>
      </c>
    </row>
    <row r="105" spans="1:10" ht="15.75" x14ac:dyDescent="0.25">
      <c r="A105" s="39">
        <v>35034</v>
      </c>
    </row>
    <row r="106" spans="1:10" ht="15.75" x14ac:dyDescent="0.25">
      <c r="A106" s="39">
        <v>35065</v>
      </c>
    </row>
    <row r="107" spans="1:10" ht="15.75" x14ac:dyDescent="0.25">
      <c r="A107" s="39">
        <v>35096</v>
      </c>
      <c r="J107" s="6">
        <v>790.58908045977</v>
      </c>
    </row>
    <row r="108" spans="1:10" ht="15.75" x14ac:dyDescent="0.25">
      <c r="A108" s="39">
        <v>35125</v>
      </c>
      <c r="J108" s="6">
        <v>865.61379928315398</v>
      </c>
    </row>
    <row r="109" spans="1:10" ht="15.75" x14ac:dyDescent="0.25">
      <c r="A109" s="39">
        <v>35156</v>
      </c>
      <c r="J109" s="6">
        <v>631.29629629629619</v>
      </c>
    </row>
    <row r="110" spans="1:10" ht="15.75" x14ac:dyDescent="0.25">
      <c r="A110" s="39">
        <v>35186</v>
      </c>
      <c r="J110" s="6">
        <v>713.06003584229393</v>
      </c>
    </row>
    <row r="111" spans="1:10" ht="15.75" x14ac:dyDescent="0.25">
      <c r="A111" s="39">
        <v>35217</v>
      </c>
      <c r="J111" s="6">
        <v>556.18055555555554</v>
      </c>
    </row>
    <row r="112" spans="1:10" ht="15.75" x14ac:dyDescent="0.25">
      <c r="A112" s="39">
        <v>35247</v>
      </c>
      <c r="C112" s="7">
        <v>585.61827956989259</v>
      </c>
      <c r="J112" s="6">
        <v>722.89426523297493</v>
      </c>
    </row>
    <row r="113" spans="1:10" ht="15.75" x14ac:dyDescent="0.25">
      <c r="A113" s="39">
        <v>35278</v>
      </c>
      <c r="C113" s="7">
        <v>654.0098566308244</v>
      </c>
      <c r="J113" s="6">
        <v>722.17741935483878</v>
      </c>
    </row>
    <row r="114" spans="1:10" ht="15.75" x14ac:dyDescent="0.25">
      <c r="A114" s="39">
        <v>35309</v>
      </c>
      <c r="C114" s="7">
        <v>458.01971326164875</v>
      </c>
      <c r="J114" s="6">
        <v>683.77314814814815</v>
      </c>
    </row>
    <row r="115" spans="1:10" ht="15.75" x14ac:dyDescent="0.25">
      <c r="A115" s="39">
        <v>35339</v>
      </c>
      <c r="C115" s="7">
        <v>483.15412186379928</v>
      </c>
      <c r="J115" s="6">
        <v>683.53494623655922</v>
      </c>
    </row>
    <row r="116" spans="1:10" ht="15.75" x14ac:dyDescent="0.25">
      <c r="A116" s="39">
        <v>35370</v>
      </c>
      <c r="C116" s="7">
        <v>508.26612903225811</v>
      </c>
      <c r="J116" s="6">
        <v>732.82407407407413</v>
      </c>
    </row>
    <row r="117" spans="1:10" ht="15.75" x14ac:dyDescent="0.25">
      <c r="A117" s="39">
        <v>35400</v>
      </c>
      <c r="C117" s="7">
        <v>913.64247311827967</v>
      </c>
      <c r="J117" s="6">
        <v>1099.5519713261647</v>
      </c>
    </row>
    <row r="118" spans="1:10" ht="15.75" x14ac:dyDescent="0.25">
      <c r="A118" s="39">
        <v>35431</v>
      </c>
      <c r="C118" s="7">
        <v>614.60573476702507</v>
      </c>
      <c r="J118" s="6">
        <v>501.23207885304663</v>
      </c>
    </row>
    <row r="119" spans="1:10" ht="15.75" x14ac:dyDescent="0.25">
      <c r="A119" s="39">
        <v>35462</v>
      </c>
      <c r="C119" s="7">
        <v>644.1756272401434</v>
      </c>
      <c r="J119" s="6">
        <v>586.73115079365073</v>
      </c>
    </row>
    <row r="120" spans="1:10" ht="15.75" x14ac:dyDescent="0.25">
      <c r="A120" s="39">
        <v>35490</v>
      </c>
      <c r="C120" s="7">
        <v>215.99462365591398</v>
      </c>
      <c r="J120" s="6">
        <v>950.89605734767019</v>
      </c>
    </row>
    <row r="121" spans="1:10" ht="15.75" x14ac:dyDescent="0.25">
      <c r="A121" s="39">
        <v>35521</v>
      </c>
      <c r="C121" s="7">
        <v>644.78046594982084</v>
      </c>
      <c r="J121" s="6">
        <v>923.35648148148141</v>
      </c>
    </row>
    <row r="122" spans="1:10" ht="15.75" x14ac:dyDescent="0.25">
      <c r="A122" s="39">
        <v>35551</v>
      </c>
      <c r="C122" s="7">
        <v>543.34677419354841</v>
      </c>
      <c r="J122" s="6">
        <v>997.22222222222229</v>
      </c>
    </row>
    <row r="123" spans="1:10" ht="15.75" x14ac:dyDescent="0.25">
      <c r="A123" s="39">
        <v>35582</v>
      </c>
      <c r="C123" s="7">
        <v>549.95519713261649</v>
      </c>
      <c r="J123" s="6">
        <v>850.87962962962968</v>
      </c>
    </row>
    <row r="124" spans="1:10" ht="15.75" x14ac:dyDescent="0.25">
      <c r="A124" s="39">
        <v>35612</v>
      </c>
      <c r="C124" s="7">
        <v>492.83154121863794</v>
      </c>
      <c r="J124" s="6">
        <v>841.84587813620067</v>
      </c>
    </row>
    <row r="125" spans="1:10" ht="15.75" x14ac:dyDescent="0.25">
      <c r="A125" s="39">
        <v>35643</v>
      </c>
      <c r="C125" s="7">
        <v>792.56272401433682</v>
      </c>
      <c r="J125" s="6">
        <v>864.71774193548379</v>
      </c>
    </row>
    <row r="126" spans="1:10" ht="15.75" x14ac:dyDescent="0.25">
      <c r="A126" s="39">
        <v>35674</v>
      </c>
      <c r="C126" s="7">
        <v>719.51164874551966</v>
      </c>
      <c r="J126" s="6">
        <v>869.60648148148141</v>
      </c>
    </row>
    <row r="127" spans="1:10" ht="15.75" x14ac:dyDescent="0.25">
      <c r="A127" s="39">
        <v>35704</v>
      </c>
      <c r="C127" s="7">
        <v>590.00896057347677</v>
      </c>
      <c r="J127" s="6">
        <v>820.00448028673839</v>
      </c>
    </row>
    <row r="128" spans="1:10" ht="15.75" x14ac:dyDescent="0.25">
      <c r="A128" s="39">
        <v>35735</v>
      </c>
      <c r="C128" s="7">
        <v>657.30286738351253</v>
      </c>
      <c r="J128" s="6">
        <v>500</v>
      </c>
    </row>
    <row r="129" spans="1:10" ht="15.75" x14ac:dyDescent="0.25">
      <c r="A129" s="39">
        <v>35765</v>
      </c>
      <c r="C129" s="7">
        <v>665.41218637992824</v>
      </c>
      <c r="J129" s="6">
        <v>637.5</v>
      </c>
    </row>
    <row r="130" spans="1:10" ht="15.75" x14ac:dyDescent="0.25">
      <c r="A130" s="39">
        <v>35796</v>
      </c>
      <c r="C130" s="7">
        <v>379.2786738351254</v>
      </c>
      <c r="J130" s="6">
        <v>880</v>
      </c>
    </row>
    <row r="131" spans="1:10" ht="15.75" x14ac:dyDescent="0.25">
      <c r="A131" s="39">
        <v>35827</v>
      </c>
      <c r="C131" s="7">
        <v>563.97849462365593</v>
      </c>
      <c r="J131" s="6">
        <v>716.14583333333337</v>
      </c>
    </row>
    <row r="132" spans="1:10" ht="15.75" x14ac:dyDescent="0.25">
      <c r="A132" s="39">
        <v>35855</v>
      </c>
      <c r="J132" s="6">
        <v>632.88530465949816</v>
      </c>
    </row>
    <row r="133" spans="1:10" ht="15.75" x14ac:dyDescent="0.25">
      <c r="A133" s="39">
        <v>35886</v>
      </c>
      <c r="J133" s="6">
        <v>653.98148148148152</v>
      </c>
    </row>
    <row r="134" spans="1:10" ht="15.75" x14ac:dyDescent="0.25">
      <c r="A134" s="39">
        <v>35916</v>
      </c>
      <c r="J134" s="6">
        <v>680.15232974910396</v>
      </c>
    </row>
    <row r="135" spans="1:10" ht="15.75" x14ac:dyDescent="0.25">
      <c r="A135" s="39">
        <v>35947</v>
      </c>
      <c r="J135" s="6">
        <v>690.81712962962956</v>
      </c>
    </row>
    <row r="136" spans="1:10" ht="15.75" x14ac:dyDescent="0.25">
      <c r="A136" s="39">
        <v>35977</v>
      </c>
      <c r="J136" s="6">
        <v>780</v>
      </c>
    </row>
    <row r="137" spans="1:10" ht="15.75" x14ac:dyDescent="0.25">
      <c r="A137" s="39">
        <v>36008</v>
      </c>
    </row>
    <row r="138" spans="1:10" ht="15.75" x14ac:dyDescent="0.25">
      <c r="A138" s="39">
        <v>36039</v>
      </c>
    </row>
    <row r="139" spans="1:10" ht="15.75" x14ac:dyDescent="0.25">
      <c r="A139" s="39">
        <v>36069</v>
      </c>
    </row>
    <row r="140" spans="1:10" ht="15.75" x14ac:dyDescent="0.25">
      <c r="A140" s="39">
        <v>36100</v>
      </c>
    </row>
    <row r="141" spans="1:10" ht="15.75" x14ac:dyDescent="0.25">
      <c r="A141" s="39">
        <v>36130</v>
      </c>
    </row>
    <row r="142" spans="1:10" ht="15.75" x14ac:dyDescent="0.25">
      <c r="A142" s="39">
        <v>36161</v>
      </c>
    </row>
    <row r="143" spans="1:10" ht="15.75" x14ac:dyDescent="0.25">
      <c r="A143" s="39">
        <v>36192</v>
      </c>
    </row>
    <row r="144" spans="1:10" ht="15.75" x14ac:dyDescent="0.25">
      <c r="A144" s="39">
        <v>36220</v>
      </c>
    </row>
    <row r="145" spans="1:1" ht="15.75" x14ac:dyDescent="0.25">
      <c r="A145" s="39">
        <v>36251</v>
      </c>
    </row>
    <row r="146" spans="1:1" ht="15.75" x14ac:dyDescent="0.25">
      <c r="A146" s="39">
        <v>36281</v>
      </c>
    </row>
    <row r="147" spans="1:1" ht="15.75" x14ac:dyDescent="0.25">
      <c r="A147" s="39">
        <v>36312</v>
      </c>
    </row>
    <row r="148" spans="1:1" ht="15.75" x14ac:dyDescent="0.25">
      <c r="A148" s="39">
        <v>36342</v>
      </c>
    </row>
    <row r="149" spans="1:1" ht="15.75" x14ac:dyDescent="0.25">
      <c r="A149" s="39">
        <v>36373</v>
      </c>
    </row>
    <row r="150" spans="1:1" ht="15.75" x14ac:dyDescent="0.25">
      <c r="A150" s="39">
        <v>36404</v>
      </c>
    </row>
    <row r="151" spans="1:1" ht="15.75" x14ac:dyDescent="0.25">
      <c r="A151" s="39">
        <v>36434</v>
      </c>
    </row>
    <row r="152" spans="1:1" ht="15.75" x14ac:dyDescent="0.25">
      <c r="A152" s="39">
        <v>36465</v>
      </c>
    </row>
    <row r="153" spans="1:1" ht="15.75" x14ac:dyDescent="0.25">
      <c r="A153" s="39">
        <v>36495</v>
      </c>
    </row>
    <row r="154" spans="1:1" ht="15.75" x14ac:dyDescent="0.25">
      <c r="A154" s="39">
        <v>36526</v>
      </c>
    </row>
    <row r="155" spans="1:1" ht="15.75" x14ac:dyDescent="0.25">
      <c r="A155" s="39">
        <v>36557</v>
      </c>
    </row>
    <row r="156" spans="1:1" ht="15.75" x14ac:dyDescent="0.25">
      <c r="A156" s="39">
        <v>36586</v>
      </c>
    </row>
    <row r="157" spans="1:1" ht="15.75" x14ac:dyDescent="0.25">
      <c r="A157" s="39">
        <v>36617</v>
      </c>
    </row>
    <row r="158" spans="1:1" ht="15.75" x14ac:dyDescent="0.25">
      <c r="A158" s="39">
        <v>36647</v>
      </c>
    </row>
    <row r="159" spans="1:1" ht="15.75" x14ac:dyDescent="0.25">
      <c r="A159" s="39">
        <v>36678</v>
      </c>
    </row>
    <row r="160" spans="1:1" ht="15.75" x14ac:dyDescent="0.25">
      <c r="A160" s="39">
        <v>36708</v>
      </c>
    </row>
    <row r="161" spans="1:12" ht="15.75" x14ac:dyDescent="0.25">
      <c r="A161" s="39">
        <v>36739</v>
      </c>
    </row>
    <row r="162" spans="1:12" ht="15.75" x14ac:dyDescent="0.25">
      <c r="A162" s="39">
        <v>36770</v>
      </c>
    </row>
    <row r="163" spans="1:12" ht="15.75" x14ac:dyDescent="0.25">
      <c r="A163" s="39">
        <v>36800</v>
      </c>
    </row>
    <row r="164" spans="1:12" ht="15.75" x14ac:dyDescent="0.25">
      <c r="A164" s="39">
        <v>36831</v>
      </c>
      <c r="L164" s="9">
        <v>379</v>
      </c>
    </row>
    <row r="165" spans="1:12" ht="15.75" x14ac:dyDescent="0.25">
      <c r="A165" s="39">
        <v>36861</v>
      </c>
      <c r="L165" s="9"/>
    </row>
    <row r="166" spans="1:12" ht="15.75" x14ac:dyDescent="0.25">
      <c r="A166" s="39">
        <v>36892</v>
      </c>
      <c r="L166" s="9"/>
    </row>
    <row r="167" spans="1:12" ht="15.75" x14ac:dyDescent="0.25">
      <c r="A167" s="39">
        <v>36923</v>
      </c>
      <c r="L167" s="9">
        <v>86.2</v>
      </c>
    </row>
    <row r="168" spans="1:12" ht="15.75" x14ac:dyDescent="0.25">
      <c r="A168" s="39">
        <v>36951</v>
      </c>
      <c r="L168" s="9"/>
    </row>
    <row r="169" spans="1:12" ht="15.75" x14ac:dyDescent="0.25">
      <c r="A169" s="39">
        <v>36982</v>
      </c>
      <c r="L169" s="9"/>
    </row>
    <row r="170" spans="1:12" ht="15.75" x14ac:dyDescent="0.25">
      <c r="A170" s="39">
        <v>37012</v>
      </c>
      <c r="L170" s="9">
        <v>917.3</v>
      </c>
    </row>
    <row r="171" spans="1:12" ht="15.75" x14ac:dyDescent="0.25">
      <c r="A171" s="39">
        <v>37043</v>
      </c>
      <c r="L171" s="9"/>
    </row>
    <row r="172" spans="1:12" ht="15.75" x14ac:dyDescent="0.25">
      <c r="A172" s="39">
        <v>37073</v>
      </c>
      <c r="L172" s="9"/>
    </row>
    <row r="173" spans="1:12" ht="15.75" x14ac:dyDescent="0.25">
      <c r="A173" s="39">
        <v>37104</v>
      </c>
      <c r="L173" s="9">
        <v>884.4</v>
      </c>
    </row>
    <row r="174" spans="1:12" ht="15.75" x14ac:dyDescent="0.25">
      <c r="A174" s="39">
        <v>37135</v>
      </c>
      <c r="L174" s="9"/>
    </row>
    <row r="175" spans="1:12" ht="15.75" x14ac:dyDescent="0.25">
      <c r="A175" s="39">
        <v>37165</v>
      </c>
      <c r="L175" s="9"/>
    </row>
    <row r="176" spans="1:12" ht="15.75" x14ac:dyDescent="0.25">
      <c r="A176" s="39">
        <v>37196</v>
      </c>
      <c r="L176" s="9">
        <v>884.4</v>
      </c>
    </row>
    <row r="177" spans="1:12" ht="15.75" x14ac:dyDescent="0.25">
      <c r="A177" s="39">
        <v>37226</v>
      </c>
      <c r="L177" s="9"/>
    </row>
    <row r="178" spans="1:12" ht="15.75" x14ac:dyDescent="0.25">
      <c r="A178" s="39">
        <v>37257</v>
      </c>
      <c r="L178" s="9"/>
    </row>
    <row r="179" spans="1:12" ht="15.75" x14ac:dyDescent="0.25">
      <c r="A179" s="39">
        <v>37288</v>
      </c>
      <c r="L179" s="9" t="s">
        <v>24</v>
      </c>
    </row>
    <row r="180" spans="1:12" ht="15.75" x14ac:dyDescent="0.25">
      <c r="A180" s="39">
        <v>37316</v>
      </c>
      <c r="L180" s="9"/>
    </row>
    <row r="181" spans="1:12" ht="15.75" x14ac:dyDescent="0.25">
      <c r="A181" s="39">
        <v>37347</v>
      </c>
      <c r="L181" s="9"/>
    </row>
    <row r="182" spans="1:12" ht="15.75" x14ac:dyDescent="0.25">
      <c r="A182" s="39">
        <v>37377</v>
      </c>
      <c r="L182" s="9" t="s">
        <v>24</v>
      </c>
    </row>
    <row r="183" spans="1:12" ht="15.75" x14ac:dyDescent="0.25">
      <c r="A183" s="39">
        <v>37408</v>
      </c>
      <c r="L183" s="9"/>
    </row>
    <row r="184" spans="1:12" ht="15.75" x14ac:dyDescent="0.25">
      <c r="A184" s="39">
        <v>37438</v>
      </c>
      <c r="L184" s="9"/>
    </row>
    <row r="185" spans="1:12" ht="15.75" x14ac:dyDescent="0.25">
      <c r="A185" s="39">
        <v>37469</v>
      </c>
      <c r="L185" s="9" t="s">
        <v>24</v>
      </c>
    </row>
    <row r="186" spans="1:12" ht="15.75" x14ac:dyDescent="0.25">
      <c r="A186" s="39">
        <v>37500</v>
      </c>
      <c r="L186" s="9"/>
    </row>
    <row r="187" spans="1:12" ht="15.75" x14ac:dyDescent="0.25">
      <c r="A187" s="39">
        <v>37530</v>
      </c>
      <c r="L187" s="9"/>
    </row>
    <row r="188" spans="1:12" ht="15.75" x14ac:dyDescent="0.25">
      <c r="A188" s="39">
        <v>37561</v>
      </c>
      <c r="L188" s="9">
        <v>659.35</v>
      </c>
    </row>
    <row r="189" spans="1:12" ht="15.75" x14ac:dyDescent="0.25">
      <c r="A189" s="39">
        <v>37591</v>
      </c>
      <c r="L189" s="9"/>
    </row>
    <row r="190" spans="1:12" ht="15.75" x14ac:dyDescent="0.25">
      <c r="A190" s="39">
        <v>37622</v>
      </c>
      <c r="L190" s="9"/>
    </row>
    <row r="191" spans="1:12" ht="15.75" x14ac:dyDescent="0.25">
      <c r="A191" s="39">
        <v>37653</v>
      </c>
      <c r="L191" s="9">
        <v>528.9</v>
      </c>
    </row>
    <row r="192" spans="1:12" ht="15.75" x14ac:dyDescent="0.25">
      <c r="A192" s="39">
        <v>37681</v>
      </c>
      <c r="L192" s="9"/>
    </row>
    <row r="193" spans="1:12" ht="15.75" x14ac:dyDescent="0.25">
      <c r="A193" s="39">
        <v>37712</v>
      </c>
      <c r="L193" s="9"/>
    </row>
    <row r="194" spans="1:12" ht="15.75" x14ac:dyDescent="0.25">
      <c r="A194" s="39">
        <v>37742</v>
      </c>
      <c r="L194" s="9">
        <v>414.8</v>
      </c>
    </row>
    <row r="195" spans="1:12" ht="15.75" x14ac:dyDescent="0.25">
      <c r="A195" s="39">
        <v>37773</v>
      </c>
      <c r="L195" s="9"/>
    </row>
    <row r="196" spans="1:12" ht="15.75" x14ac:dyDescent="0.25">
      <c r="A196" s="39">
        <v>37803</v>
      </c>
      <c r="L196" s="9"/>
    </row>
    <row r="197" spans="1:12" ht="15.75" x14ac:dyDescent="0.25">
      <c r="A197" s="39">
        <v>37834</v>
      </c>
      <c r="L197" s="9">
        <v>434.8</v>
      </c>
    </row>
    <row r="198" spans="1:12" ht="15.75" x14ac:dyDescent="0.25">
      <c r="A198" s="39">
        <v>37865</v>
      </c>
      <c r="L198" s="9"/>
    </row>
    <row r="199" spans="1:12" ht="15.75" x14ac:dyDescent="0.25">
      <c r="A199" s="39">
        <v>37895</v>
      </c>
      <c r="L199" s="9"/>
    </row>
    <row r="200" spans="1:12" ht="15.75" x14ac:dyDescent="0.25">
      <c r="A200" s="39">
        <v>37926</v>
      </c>
      <c r="L200" s="9">
        <v>486.5</v>
      </c>
    </row>
    <row r="201" spans="1:12" ht="15.75" x14ac:dyDescent="0.25">
      <c r="A201" s="39">
        <v>37956</v>
      </c>
      <c r="L201" s="9"/>
    </row>
    <row r="202" spans="1:12" ht="15.75" x14ac:dyDescent="0.25">
      <c r="A202" s="39">
        <v>37987</v>
      </c>
      <c r="L202" s="9"/>
    </row>
    <row r="203" spans="1:12" ht="15.75" x14ac:dyDescent="0.25">
      <c r="A203" s="39">
        <v>38018</v>
      </c>
      <c r="L203" s="9">
        <v>735.5</v>
      </c>
    </row>
    <row r="204" spans="1:12" ht="15.75" x14ac:dyDescent="0.25">
      <c r="A204" s="39">
        <v>38047</v>
      </c>
      <c r="L204" s="9"/>
    </row>
    <row r="205" spans="1:12" ht="15.75" x14ac:dyDescent="0.25">
      <c r="A205" s="39">
        <v>38078</v>
      </c>
      <c r="L205" s="9"/>
    </row>
    <row r="206" spans="1:12" ht="15.75" x14ac:dyDescent="0.25">
      <c r="A206" s="39">
        <v>38108</v>
      </c>
      <c r="L206" s="9">
        <v>526.4</v>
      </c>
    </row>
    <row r="207" spans="1:12" ht="15.75" x14ac:dyDescent="0.25">
      <c r="A207" s="39">
        <v>38139</v>
      </c>
      <c r="L207" s="9"/>
    </row>
    <row r="208" spans="1:12" ht="15.75" x14ac:dyDescent="0.25">
      <c r="A208" s="39">
        <v>38169</v>
      </c>
      <c r="L208" s="9"/>
    </row>
    <row r="209" spans="1:12" ht="15.75" x14ac:dyDescent="0.25">
      <c r="A209" s="39">
        <v>38200</v>
      </c>
      <c r="L209" s="9">
        <v>350.6</v>
      </c>
    </row>
    <row r="210" spans="1:12" ht="15.75" x14ac:dyDescent="0.25">
      <c r="A210" s="39">
        <v>38231</v>
      </c>
      <c r="L210" s="9"/>
    </row>
    <row r="211" spans="1:12" ht="15.75" x14ac:dyDescent="0.25">
      <c r="A211" s="39">
        <v>38261</v>
      </c>
      <c r="L211" s="9"/>
    </row>
    <row r="212" spans="1:12" ht="15.75" x14ac:dyDescent="0.25">
      <c r="A212" s="39">
        <v>38292</v>
      </c>
      <c r="L212" s="9">
        <v>252.5</v>
      </c>
    </row>
    <row r="213" spans="1:12" ht="15.75" x14ac:dyDescent="0.25">
      <c r="A213" s="39">
        <v>38322</v>
      </c>
      <c r="L213" s="9"/>
    </row>
    <row r="214" spans="1:12" ht="15.75" x14ac:dyDescent="0.25">
      <c r="A214" s="39">
        <v>38353</v>
      </c>
      <c r="E214" s="10">
        <v>144.28763440860217</v>
      </c>
      <c r="J214" s="6">
        <v>987.0743727598566</v>
      </c>
      <c r="L214" s="9"/>
    </row>
    <row r="215" spans="1:12" ht="15.75" x14ac:dyDescent="0.25">
      <c r="A215" s="39">
        <v>38384</v>
      </c>
      <c r="E215" s="10">
        <v>147.09821428571428</v>
      </c>
      <c r="J215" s="6">
        <v>1004.2410714285714</v>
      </c>
      <c r="L215" s="9">
        <v>190.7</v>
      </c>
    </row>
    <row r="216" spans="1:12" ht="15.75" x14ac:dyDescent="0.25">
      <c r="A216" s="39">
        <v>38412</v>
      </c>
      <c r="B216" s="11">
        <v>435.48387096774195</v>
      </c>
      <c r="E216" s="10">
        <v>140.4121863799283</v>
      </c>
      <c r="J216" s="6">
        <v>987.61200716845872</v>
      </c>
      <c r="L216" s="9"/>
    </row>
    <row r="217" spans="1:12" ht="15.75" x14ac:dyDescent="0.25">
      <c r="A217" s="39">
        <v>38443</v>
      </c>
      <c r="B217" s="11">
        <v>450</v>
      </c>
      <c r="E217" s="10">
        <v>140.9027777777778</v>
      </c>
      <c r="J217" s="6">
        <v>992.87037037037044</v>
      </c>
      <c r="L217" s="9"/>
    </row>
    <row r="218" spans="1:12" ht="15.75" x14ac:dyDescent="0.25">
      <c r="A218" s="39">
        <v>38473</v>
      </c>
      <c r="B218" s="11">
        <v>500</v>
      </c>
      <c r="E218" s="10">
        <v>141.10663082437279</v>
      </c>
      <c r="J218" s="6">
        <v>808.98297491039432</v>
      </c>
      <c r="L218" s="9">
        <v>180.8</v>
      </c>
    </row>
    <row r="219" spans="1:12" ht="15.75" x14ac:dyDescent="0.25">
      <c r="A219" s="39">
        <v>38504</v>
      </c>
      <c r="B219" s="11">
        <v>500</v>
      </c>
      <c r="E219" s="10">
        <v>883.33333333333326</v>
      </c>
      <c r="J219" s="6">
        <v>882.80092592592598</v>
      </c>
    </row>
    <row r="220" spans="1:12" ht="15.75" x14ac:dyDescent="0.25">
      <c r="A220" s="39">
        <v>38534</v>
      </c>
      <c r="B220" s="11">
        <v>500</v>
      </c>
      <c r="E220" s="10">
        <v>146.37896825396825</v>
      </c>
      <c r="J220" s="6">
        <v>811.78315412186384</v>
      </c>
    </row>
    <row r="221" spans="1:12" ht="15.75" x14ac:dyDescent="0.25">
      <c r="A221" s="39">
        <v>38565</v>
      </c>
      <c r="B221" s="11">
        <v>861.11111111111109</v>
      </c>
      <c r="E221" s="10">
        <v>153.20340501792114</v>
      </c>
      <c r="J221" s="6">
        <v>778.94265232974919</v>
      </c>
    </row>
    <row r="222" spans="1:12" ht="15.75" x14ac:dyDescent="0.25">
      <c r="A222" s="39">
        <v>38596</v>
      </c>
      <c r="B222" s="11">
        <v>861.11111111111109</v>
      </c>
      <c r="E222" s="10">
        <v>153.20340501792114</v>
      </c>
      <c r="J222" s="6">
        <v>778.94265232974919</v>
      </c>
    </row>
    <row r="223" spans="1:12" ht="15.75" x14ac:dyDescent="0.25">
      <c r="A223" s="39">
        <v>38626</v>
      </c>
      <c r="B223" s="11">
        <v>605.51075268817203</v>
      </c>
      <c r="E223" s="10">
        <v>155.11363636363637</v>
      </c>
      <c r="J223" s="6">
        <v>761.40232974910407</v>
      </c>
    </row>
    <row r="224" spans="1:12" ht="15.75" x14ac:dyDescent="0.25">
      <c r="A224" s="39">
        <v>38657</v>
      </c>
      <c r="B224" s="11">
        <v>607.4537037037037</v>
      </c>
      <c r="E224" s="10">
        <v>142.99768518518519</v>
      </c>
      <c r="J224" s="6">
        <v>782.87037037037032</v>
      </c>
    </row>
    <row r="225" spans="1:10" ht="15.75" x14ac:dyDescent="0.25">
      <c r="A225" s="39">
        <v>38687</v>
      </c>
      <c r="B225" s="11">
        <v>599.43996415770619</v>
      </c>
      <c r="J225" s="6">
        <v>754.92831541218629</v>
      </c>
    </row>
    <row r="226" spans="1:10" ht="15.75" x14ac:dyDescent="0.25">
      <c r="A226" s="39">
        <v>38718</v>
      </c>
      <c r="B226" s="11">
        <v>599.61917562724011</v>
      </c>
      <c r="J226" s="6">
        <v>747.62544802867365</v>
      </c>
    </row>
    <row r="227" spans="1:10" ht="15.75" x14ac:dyDescent="0.25">
      <c r="A227" s="39">
        <v>38749</v>
      </c>
      <c r="B227" s="11">
        <v>603.49702380952385</v>
      </c>
      <c r="J227" s="6">
        <v>762.84722222222229</v>
      </c>
    </row>
    <row r="228" spans="1:10" ht="15.75" x14ac:dyDescent="0.25">
      <c r="A228" s="39">
        <v>38777</v>
      </c>
      <c r="J228" s="6">
        <v>766.39784946236546</v>
      </c>
    </row>
    <row r="229" spans="1:10" ht="15.75" x14ac:dyDescent="0.25">
      <c r="A229" s="39">
        <v>38808</v>
      </c>
      <c r="J229" s="6">
        <v>749.4212962962963</v>
      </c>
    </row>
    <row r="230" spans="1:10" ht="15.75" x14ac:dyDescent="0.25">
      <c r="A230" s="39">
        <v>38838</v>
      </c>
      <c r="J230" s="6">
        <v>762.76881720430129</v>
      </c>
    </row>
    <row r="231" spans="1:10" ht="15.75" x14ac:dyDescent="0.25">
      <c r="A231" s="39">
        <v>38869</v>
      </c>
      <c r="J231" s="6">
        <v>789.15229885057465</v>
      </c>
    </row>
    <row r="232" spans="1:10" ht="15.75" x14ac:dyDescent="0.25">
      <c r="A232" s="39">
        <v>38899</v>
      </c>
      <c r="J232" s="6">
        <v>787.10648148148152</v>
      </c>
    </row>
    <row r="233" spans="1:10" ht="15.75" x14ac:dyDescent="0.25">
      <c r="A233" s="39">
        <v>38930</v>
      </c>
      <c r="J233" s="6">
        <v>783.10185185185185</v>
      </c>
    </row>
    <row r="234" spans="1:10" ht="15.75" x14ac:dyDescent="0.25">
      <c r="A234" s="39">
        <v>38961</v>
      </c>
      <c r="J234" s="6">
        <v>807.66203703703695</v>
      </c>
    </row>
    <row r="235" spans="1:10" ht="15.75" x14ac:dyDescent="0.25">
      <c r="A235" s="39">
        <v>38991</v>
      </c>
      <c r="J235" s="6">
        <v>825.91845878136201</v>
      </c>
    </row>
    <row r="236" spans="1:10" ht="15.75" x14ac:dyDescent="0.25">
      <c r="A236" s="39">
        <v>39022</v>
      </c>
      <c r="J236" s="6">
        <v>746.52777777777783</v>
      </c>
    </row>
    <row r="237" spans="1:10" ht="15.75" x14ac:dyDescent="0.25">
      <c r="A237" s="39">
        <v>39052</v>
      </c>
      <c r="J237" s="6">
        <v>585.10304659498206</v>
      </c>
    </row>
    <row r="238" spans="1:10" ht="15.75" x14ac:dyDescent="0.25">
      <c r="A238" s="39">
        <v>39083</v>
      </c>
      <c r="J238" s="6">
        <v>610.79749103942652</v>
      </c>
    </row>
    <row r="239" spans="1:10" ht="15.75" x14ac:dyDescent="0.25">
      <c r="A239" s="39">
        <v>39114</v>
      </c>
      <c r="J239" s="6">
        <v>622.22222222222229</v>
      </c>
    </row>
    <row r="240" spans="1:10" ht="15.75" x14ac:dyDescent="0.25">
      <c r="A240" s="39">
        <v>39142</v>
      </c>
      <c r="J240" s="6">
        <v>603.31541218637983</v>
      </c>
    </row>
    <row r="241" spans="1:12" ht="15.75" x14ac:dyDescent="0.25">
      <c r="A241" s="39">
        <v>39173</v>
      </c>
      <c r="J241" s="6">
        <v>612.17592592592598</v>
      </c>
    </row>
    <row r="242" spans="1:12" ht="15.75" x14ac:dyDescent="0.25">
      <c r="A242" s="39">
        <v>39203</v>
      </c>
      <c r="L242" s="9">
        <v>409.9</v>
      </c>
    </row>
    <row r="243" spans="1:12" ht="15.75" x14ac:dyDescent="0.25">
      <c r="A243" s="39">
        <v>39234</v>
      </c>
      <c r="L243" s="9"/>
    </row>
    <row r="244" spans="1:12" ht="15.75" x14ac:dyDescent="0.25">
      <c r="A244" s="39">
        <v>39264</v>
      </c>
      <c r="L244" s="9"/>
    </row>
    <row r="245" spans="1:12" ht="15.75" x14ac:dyDescent="0.25">
      <c r="A245" s="39">
        <v>39295</v>
      </c>
      <c r="L245" s="9">
        <v>611</v>
      </c>
    </row>
    <row r="246" spans="1:12" ht="15.75" x14ac:dyDescent="0.25">
      <c r="A246" s="39">
        <v>39326</v>
      </c>
      <c r="J246" s="6">
        <v>648.98148148148152</v>
      </c>
      <c r="L246" s="9"/>
    </row>
    <row r="247" spans="1:12" ht="15.75" x14ac:dyDescent="0.25">
      <c r="A247" s="39">
        <v>39356</v>
      </c>
      <c r="J247" s="6">
        <v>662.36559139784947</v>
      </c>
      <c r="L247" s="9"/>
    </row>
    <row r="248" spans="1:12" ht="15.75" x14ac:dyDescent="0.25">
      <c r="A248" s="39">
        <v>39387</v>
      </c>
      <c r="J248" s="6">
        <v>638.77688172043008</v>
      </c>
      <c r="L248" s="9">
        <v>651.9</v>
      </c>
    </row>
    <row r="249" spans="1:12" ht="15.75" x14ac:dyDescent="0.25">
      <c r="A249" s="39">
        <v>39417</v>
      </c>
      <c r="J249" s="6">
        <v>666.28584229390674</v>
      </c>
      <c r="L249" s="9"/>
    </row>
    <row r="250" spans="1:12" ht="15.75" x14ac:dyDescent="0.25">
      <c r="A250" s="39">
        <v>39448</v>
      </c>
      <c r="J250" s="6">
        <v>678.92025089605738</v>
      </c>
      <c r="L250" s="9"/>
    </row>
    <row r="251" spans="1:12" ht="15.75" x14ac:dyDescent="0.25">
      <c r="A251" s="39">
        <v>39479</v>
      </c>
      <c r="J251" s="6">
        <v>700.74233716475101</v>
      </c>
      <c r="L251" s="9">
        <v>762.4</v>
      </c>
    </row>
    <row r="252" spans="1:12" ht="15.75" x14ac:dyDescent="0.25">
      <c r="A252" s="39">
        <v>39508</v>
      </c>
      <c r="J252" s="6">
        <v>707.2132616487454</v>
      </c>
      <c r="L252" s="9"/>
    </row>
    <row r="253" spans="1:12" ht="15.75" x14ac:dyDescent="0.25">
      <c r="A253" s="39">
        <v>39539</v>
      </c>
      <c r="J253" s="6">
        <v>685.55555555555554</v>
      </c>
      <c r="L253" s="9"/>
    </row>
    <row r="254" spans="1:12" ht="15.75" x14ac:dyDescent="0.25">
      <c r="A254" s="39">
        <v>39569</v>
      </c>
      <c r="J254" s="6">
        <v>694.48924731182808</v>
      </c>
      <c r="L254" s="9">
        <v>552.79999999999995</v>
      </c>
    </row>
    <row r="255" spans="1:12" ht="15.75" x14ac:dyDescent="0.25">
      <c r="A255" s="39">
        <v>39600</v>
      </c>
      <c r="J255" s="6">
        <v>643.47222222222217</v>
      </c>
      <c r="L255" s="9"/>
    </row>
    <row r="256" spans="1:12" ht="15.75" x14ac:dyDescent="0.25">
      <c r="A256" s="39">
        <v>39630</v>
      </c>
      <c r="J256" s="6">
        <v>620.72132616487454</v>
      </c>
      <c r="L256" s="9"/>
    </row>
    <row r="257" spans="1:12" ht="15.75" x14ac:dyDescent="0.25">
      <c r="A257" s="39">
        <v>39661</v>
      </c>
      <c r="J257" s="6">
        <v>621.16935483870975</v>
      </c>
      <c r="L257" s="9" t="s">
        <v>24</v>
      </c>
    </row>
    <row r="258" spans="1:12" ht="15.75" x14ac:dyDescent="0.25">
      <c r="A258" s="39">
        <v>39692</v>
      </c>
      <c r="L258" s="9"/>
    </row>
    <row r="259" spans="1:12" ht="15.75" x14ac:dyDescent="0.25">
      <c r="A259" s="39">
        <v>39722</v>
      </c>
      <c r="L259" s="9"/>
    </row>
    <row r="260" spans="1:12" ht="15.75" x14ac:dyDescent="0.25">
      <c r="A260" s="39">
        <v>39753</v>
      </c>
      <c r="H260" s="12">
        <v>528.29999999999995</v>
      </c>
      <c r="L260" s="9">
        <v>654.20000000000005</v>
      </c>
    </row>
    <row r="261" spans="1:12" ht="15.75" x14ac:dyDescent="0.25">
      <c r="A261" s="39">
        <v>39783</v>
      </c>
      <c r="H261" s="12"/>
      <c r="L261" s="9"/>
    </row>
    <row r="262" spans="1:12" ht="15.75" x14ac:dyDescent="0.25">
      <c r="A262" s="39">
        <v>39814</v>
      </c>
      <c r="H262" s="12"/>
      <c r="J262" s="6">
        <v>595.06523297491037</v>
      </c>
      <c r="L262" s="9"/>
    </row>
    <row r="263" spans="1:12" ht="15.75" x14ac:dyDescent="0.25">
      <c r="A263" s="39">
        <v>39845</v>
      </c>
      <c r="H263" s="12">
        <v>592.29999999999995</v>
      </c>
      <c r="J263" s="6">
        <v>608.78409226190468</v>
      </c>
      <c r="L263" s="9">
        <v>825.7</v>
      </c>
    </row>
    <row r="264" spans="1:12" ht="15.75" x14ac:dyDescent="0.25">
      <c r="A264" s="39">
        <v>39873</v>
      </c>
      <c r="H264" s="12"/>
      <c r="J264" s="6">
        <v>621.30426299283181</v>
      </c>
      <c r="L264" s="9"/>
    </row>
    <row r="265" spans="1:12" ht="15.75" x14ac:dyDescent="0.25">
      <c r="A265" s="39">
        <v>39904</v>
      </c>
      <c r="H265" s="12"/>
      <c r="J265" s="6">
        <v>667.4820462962964</v>
      </c>
      <c r="L265" s="9"/>
    </row>
    <row r="266" spans="1:12" ht="15.75" x14ac:dyDescent="0.25">
      <c r="A266" s="39">
        <v>39934</v>
      </c>
      <c r="H266" s="12">
        <v>663.2</v>
      </c>
      <c r="J266" s="6">
        <v>690.81195564516111</v>
      </c>
      <c r="L266" s="9">
        <v>818.2</v>
      </c>
    </row>
    <row r="267" spans="1:12" ht="15.75" x14ac:dyDescent="0.25">
      <c r="A267" s="39">
        <v>39965</v>
      </c>
      <c r="H267" s="12"/>
      <c r="J267" s="6">
        <v>700.46868055555558</v>
      </c>
    </row>
    <row r="268" spans="1:12" ht="15.75" x14ac:dyDescent="0.25">
      <c r="A268" s="39">
        <v>39995</v>
      </c>
      <c r="H268" s="12"/>
      <c r="J268" s="6">
        <v>723.29749103942652</v>
      </c>
    </row>
    <row r="269" spans="1:12" ht="15.75" x14ac:dyDescent="0.25">
      <c r="A269" s="39">
        <v>40026</v>
      </c>
      <c r="H269" s="12">
        <v>714.2</v>
      </c>
      <c r="J269" s="6">
        <v>754.99551971326173</v>
      </c>
    </row>
    <row r="270" spans="1:12" ht="15.75" x14ac:dyDescent="0.25">
      <c r="A270" s="39">
        <v>40057</v>
      </c>
      <c r="H270" s="12"/>
      <c r="J270" s="6">
        <v>755</v>
      </c>
    </row>
    <row r="271" spans="1:12" ht="15.75" x14ac:dyDescent="0.25">
      <c r="A271" s="39">
        <v>40087</v>
      </c>
      <c r="H271" s="12"/>
      <c r="J271" s="6">
        <v>754.99551971326173</v>
      </c>
    </row>
    <row r="272" spans="1:12" ht="15.75" x14ac:dyDescent="0.25">
      <c r="A272" s="39">
        <v>40118</v>
      </c>
      <c r="H272" s="12">
        <v>587.29999999999995</v>
      </c>
      <c r="J272" s="6">
        <v>755</v>
      </c>
    </row>
    <row r="273" spans="1:14" ht="15.75" x14ac:dyDescent="0.25">
      <c r="A273" s="39">
        <v>40148</v>
      </c>
      <c r="H273" s="12"/>
      <c r="J273" s="6">
        <v>754.99551971326173</v>
      </c>
    </row>
    <row r="274" spans="1:14" ht="15.75" x14ac:dyDescent="0.25">
      <c r="A274" s="39">
        <v>40179</v>
      </c>
      <c r="H274" s="12"/>
      <c r="J274" s="6">
        <v>754.99551971326161</v>
      </c>
    </row>
    <row r="275" spans="1:14" ht="15.75" x14ac:dyDescent="0.25">
      <c r="A275" s="39">
        <v>40210</v>
      </c>
      <c r="H275" s="12">
        <v>577.29999999999995</v>
      </c>
      <c r="J275" s="6">
        <v>647.99227182539653</v>
      </c>
    </row>
    <row r="276" spans="1:14" ht="15.75" x14ac:dyDescent="0.25">
      <c r="A276" s="39">
        <v>40238</v>
      </c>
      <c r="H276" s="12"/>
      <c r="J276" s="6">
        <v>654.1</v>
      </c>
    </row>
    <row r="277" spans="1:14" ht="15.75" x14ac:dyDescent="0.25">
      <c r="A277" s="39">
        <v>40269</v>
      </c>
      <c r="H277" s="12"/>
      <c r="J277" s="6">
        <v>646.79999999999995</v>
      </c>
    </row>
    <row r="278" spans="1:14" ht="15.75" x14ac:dyDescent="0.25">
      <c r="A278" s="39">
        <v>40299</v>
      </c>
      <c r="H278" s="12">
        <v>669.2</v>
      </c>
      <c r="J278" s="6">
        <v>644.79999999999995</v>
      </c>
    </row>
    <row r="279" spans="1:14" ht="15.75" x14ac:dyDescent="0.25">
      <c r="A279" s="39">
        <v>40330</v>
      </c>
      <c r="J279" s="6">
        <v>648.29999999999995</v>
      </c>
    </row>
    <row r="280" spans="1:14" ht="15.75" x14ac:dyDescent="0.25">
      <c r="A280" s="39">
        <v>40360</v>
      </c>
    </row>
    <row r="281" spans="1:14" ht="15.75" x14ac:dyDescent="0.25">
      <c r="A281" s="39">
        <v>40391</v>
      </c>
      <c r="H281" s="12">
        <v>693.7</v>
      </c>
    </row>
    <row r="282" spans="1:14" ht="15.75" x14ac:dyDescent="0.25">
      <c r="A282" s="39">
        <v>40422</v>
      </c>
      <c r="H282" s="12"/>
    </row>
    <row r="283" spans="1:14" ht="15.75" x14ac:dyDescent="0.25">
      <c r="A283" s="39">
        <v>40452</v>
      </c>
      <c r="H283" s="12"/>
    </row>
    <row r="284" spans="1:14" ht="15.75" x14ac:dyDescent="0.25">
      <c r="A284" s="39">
        <v>40483</v>
      </c>
      <c r="G284" s="12">
        <v>375.8</v>
      </c>
      <c r="H284" s="12">
        <v>666.7</v>
      </c>
      <c r="N284" s="7">
        <v>369.4</v>
      </c>
    </row>
    <row r="285" spans="1:14" ht="15.75" x14ac:dyDescent="0.25">
      <c r="A285" s="39">
        <v>40513</v>
      </c>
      <c r="G285" s="12"/>
      <c r="H285" s="12"/>
      <c r="N285" s="32"/>
    </row>
    <row r="286" spans="1:14" ht="15.75" x14ac:dyDescent="0.25">
      <c r="A286" s="39">
        <v>40544</v>
      </c>
      <c r="G286" s="8"/>
      <c r="H286" s="8"/>
      <c r="N286" s="32"/>
    </row>
    <row r="287" spans="1:14" ht="15.75" x14ac:dyDescent="0.25">
      <c r="A287" s="39">
        <v>40575</v>
      </c>
      <c r="G287" s="12">
        <v>372</v>
      </c>
      <c r="H287" s="12">
        <v>652.20000000000005</v>
      </c>
      <c r="N287" s="10">
        <v>465.3</v>
      </c>
    </row>
    <row r="288" spans="1:14" ht="15.75" x14ac:dyDescent="0.25">
      <c r="A288" s="39">
        <v>40603</v>
      </c>
      <c r="G288" s="8"/>
      <c r="H288" s="8"/>
      <c r="N288" s="32"/>
    </row>
    <row r="289" spans="1:14" ht="15.75" x14ac:dyDescent="0.25">
      <c r="A289" s="39">
        <v>40634</v>
      </c>
      <c r="G289" s="8"/>
      <c r="H289" s="8"/>
      <c r="N289" s="32"/>
    </row>
    <row r="290" spans="1:14" ht="15.75" x14ac:dyDescent="0.25">
      <c r="A290" s="39">
        <v>40664</v>
      </c>
      <c r="G290" s="12">
        <v>441</v>
      </c>
      <c r="H290" s="12">
        <v>744.7</v>
      </c>
      <c r="N290" s="10">
        <v>468.8</v>
      </c>
    </row>
    <row r="291" spans="1:14" ht="15.75" x14ac:dyDescent="0.25">
      <c r="A291" s="39">
        <v>40695</v>
      </c>
      <c r="G291" s="8"/>
      <c r="H291" s="8"/>
      <c r="N291" s="32"/>
    </row>
    <row r="292" spans="1:14" ht="15.75" x14ac:dyDescent="0.25">
      <c r="A292" s="39">
        <v>40725</v>
      </c>
      <c r="G292" s="8"/>
      <c r="H292" s="8"/>
      <c r="N292" s="32"/>
    </row>
    <row r="293" spans="1:14" ht="15.75" x14ac:dyDescent="0.25">
      <c r="A293" s="39">
        <v>40756</v>
      </c>
      <c r="G293" s="12">
        <v>4444</v>
      </c>
      <c r="H293" s="12">
        <v>790.7</v>
      </c>
      <c r="N293" s="10">
        <v>770.3</v>
      </c>
    </row>
    <row r="294" spans="1:14" ht="15.75" x14ac:dyDescent="0.25">
      <c r="A294" s="39">
        <v>40787</v>
      </c>
      <c r="G294" s="8"/>
      <c r="H294" s="8"/>
      <c r="N294" s="32"/>
    </row>
    <row r="295" spans="1:14" ht="15.75" x14ac:dyDescent="0.25">
      <c r="A295" s="39">
        <v>40817</v>
      </c>
      <c r="G295" s="8"/>
      <c r="H295" s="8"/>
      <c r="N295" s="32"/>
    </row>
    <row r="296" spans="1:14" ht="15.75" x14ac:dyDescent="0.25">
      <c r="A296" s="39">
        <v>40848</v>
      </c>
      <c r="G296" s="12">
        <v>428</v>
      </c>
      <c r="H296" s="12">
        <v>562.29999999999995</v>
      </c>
      <c r="N296" s="10">
        <v>434.8</v>
      </c>
    </row>
    <row r="297" spans="1:14" ht="15.75" x14ac:dyDescent="0.25">
      <c r="A297" s="39">
        <v>40878</v>
      </c>
      <c r="G297" s="8"/>
      <c r="H297" s="8"/>
      <c r="N297" s="7"/>
    </row>
    <row r="298" spans="1:14" ht="15.75" x14ac:dyDescent="0.25">
      <c r="A298" s="39">
        <v>40909</v>
      </c>
      <c r="G298" s="8"/>
      <c r="H298" s="8"/>
      <c r="N298" s="7"/>
    </row>
    <row r="299" spans="1:14" ht="15.75" x14ac:dyDescent="0.25">
      <c r="A299" s="39">
        <v>40940</v>
      </c>
      <c r="G299" s="8">
        <v>397.3</v>
      </c>
      <c r="H299" s="8">
        <v>570</v>
      </c>
      <c r="N299" s="10">
        <v>450.3</v>
      </c>
    </row>
    <row r="300" spans="1:14" ht="15.75" x14ac:dyDescent="0.25">
      <c r="A300" s="39">
        <v>40969</v>
      </c>
      <c r="G300" s="8"/>
      <c r="H300" s="8"/>
      <c r="N300" s="7"/>
    </row>
    <row r="301" spans="1:14" ht="15.75" x14ac:dyDescent="0.25">
      <c r="A301" s="39">
        <v>41000</v>
      </c>
      <c r="G301" s="8"/>
      <c r="H301" s="8"/>
      <c r="N301" s="7"/>
    </row>
    <row r="302" spans="1:14" ht="15.75" x14ac:dyDescent="0.25">
      <c r="A302" s="39">
        <v>41030</v>
      </c>
      <c r="G302" s="8">
        <v>309.39999999999998</v>
      </c>
      <c r="H302" s="8">
        <v>565</v>
      </c>
      <c r="N302" s="10">
        <v>415.8</v>
      </c>
    </row>
    <row r="303" spans="1:14" ht="15.75" x14ac:dyDescent="0.25">
      <c r="A303" s="39">
        <v>41061</v>
      </c>
    </row>
    <row r="304" spans="1:14" ht="15.75" x14ac:dyDescent="0.25">
      <c r="A304" s="39">
        <v>41091</v>
      </c>
    </row>
    <row r="305" spans="1:1" ht="15.75" x14ac:dyDescent="0.25">
      <c r="A305" s="39">
        <v>41122</v>
      </c>
    </row>
    <row r="306" spans="1:1" ht="15.75" x14ac:dyDescent="0.25">
      <c r="A306" s="39">
        <v>41153</v>
      </c>
    </row>
    <row r="307" spans="1:1" ht="15.75" x14ac:dyDescent="0.25">
      <c r="A307" s="39">
        <v>41183</v>
      </c>
    </row>
    <row r="308" spans="1:1" ht="15.75" x14ac:dyDescent="0.25">
      <c r="A308" s="39">
        <v>41214</v>
      </c>
    </row>
    <row r="309" spans="1:1" ht="15.75" x14ac:dyDescent="0.25">
      <c r="A309" s="39">
        <v>41244</v>
      </c>
    </row>
    <row r="310" spans="1:1" ht="15.75" x14ac:dyDescent="0.25">
      <c r="A310" s="39">
        <v>41275</v>
      </c>
    </row>
    <row r="311" spans="1:1" ht="15.75" x14ac:dyDescent="0.25">
      <c r="A311" s="39">
        <v>41306</v>
      </c>
    </row>
    <row r="312" spans="1:1" ht="15.75" x14ac:dyDescent="0.25">
      <c r="A312" s="39">
        <v>41334</v>
      </c>
    </row>
    <row r="313" spans="1:1" ht="15.75" x14ac:dyDescent="0.25">
      <c r="A313" s="39">
        <v>41365</v>
      </c>
    </row>
    <row r="314" spans="1:1" ht="15.75" x14ac:dyDescent="0.25">
      <c r="A314" s="39">
        <v>41395</v>
      </c>
    </row>
    <row r="315" spans="1:1" ht="15.75" x14ac:dyDescent="0.25">
      <c r="A315" s="39">
        <v>41426</v>
      </c>
    </row>
    <row r="316" spans="1:1" ht="15.75" x14ac:dyDescent="0.25">
      <c r="A316" s="39">
        <v>41456</v>
      </c>
    </row>
    <row r="317" spans="1:1" ht="15.75" x14ac:dyDescent="0.25">
      <c r="A317" s="39">
        <v>41487</v>
      </c>
    </row>
    <row r="318" spans="1:1" ht="15.75" x14ac:dyDescent="0.25">
      <c r="A318" s="39">
        <v>41518</v>
      </c>
    </row>
    <row r="319" spans="1:1" ht="15.75" x14ac:dyDescent="0.25">
      <c r="A319" s="39">
        <v>41548</v>
      </c>
    </row>
    <row r="320" spans="1:1" ht="15.75" x14ac:dyDescent="0.25">
      <c r="A320" s="39">
        <v>41579</v>
      </c>
    </row>
    <row r="321" spans="1:17" ht="15.75" x14ac:dyDescent="0.25">
      <c r="A321" s="39">
        <v>41609</v>
      </c>
    </row>
    <row r="322" spans="1:17" ht="15.75" x14ac:dyDescent="0.25">
      <c r="A322" s="39">
        <v>41640</v>
      </c>
      <c r="K322" s="10">
        <f>7737*1000/31/24/60</f>
        <v>173.31989247311827</v>
      </c>
    </row>
    <row r="323" spans="1:17" ht="15.75" x14ac:dyDescent="0.25">
      <c r="A323" s="39">
        <v>41671</v>
      </c>
      <c r="K323" s="10">
        <f>7059*1000/28/24/60</f>
        <v>175.07440476190476</v>
      </c>
    </row>
    <row r="324" spans="1:17" ht="15.75" x14ac:dyDescent="0.25">
      <c r="A324" s="39">
        <v>41699</v>
      </c>
      <c r="K324" s="10">
        <f>7729*1000/31/24/60</f>
        <v>173.14068100358423</v>
      </c>
    </row>
    <row r="325" spans="1:17" ht="15.75" x14ac:dyDescent="0.25">
      <c r="A325" s="39">
        <v>41730</v>
      </c>
      <c r="K325" s="10">
        <f>7606*1000/30/24/60</f>
        <v>176.06481481481481</v>
      </c>
      <c r="P325" s="20">
        <f>25917*1000/30/24/60</f>
        <v>599.93055555555554</v>
      </c>
    </row>
    <row r="326" spans="1:17" ht="15.75" x14ac:dyDescent="0.25">
      <c r="A326" s="39">
        <v>41760</v>
      </c>
      <c r="K326" s="10">
        <f>7835</f>
        <v>7835</v>
      </c>
      <c r="P326" s="20">
        <f>28304*1000/31/24/60</f>
        <v>634.05017921146953</v>
      </c>
    </row>
    <row r="327" spans="1:17" ht="15.75" x14ac:dyDescent="0.25">
      <c r="A327" s="39">
        <v>41791</v>
      </c>
      <c r="K327" s="10">
        <f>7370*1000/30/24/60</f>
        <v>170.60185185185185</v>
      </c>
      <c r="P327" s="20">
        <f>25929*1000/30/24/60</f>
        <v>600.20833333333337</v>
      </c>
    </row>
    <row r="328" spans="1:17" ht="15.75" x14ac:dyDescent="0.25">
      <c r="A328" s="39">
        <v>41821</v>
      </c>
      <c r="K328" s="10">
        <f>7731*1000/31/24/60</f>
        <v>173.18548387096774</v>
      </c>
      <c r="P328" s="20">
        <f>27005*1000/31/24/60</f>
        <v>604.95071684587811</v>
      </c>
    </row>
    <row r="329" spans="1:17" ht="15.75" x14ac:dyDescent="0.25">
      <c r="A329" s="39">
        <v>41852</v>
      </c>
      <c r="J329" s="6">
        <f>25465*1000/31/24/60</f>
        <v>570.45250896057348</v>
      </c>
      <c r="K329" s="10">
        <f>7497*1000/31/24/60</f>
        <v>167.94354838709677</v>
      </c>
      <c r="P329" s="20">
        <f>25867*1000/31/24/60</f>
        <v>579.4578853046595</v>
      </c>
    </row>
    <row r="330" spans="1:17" ht="15.75" x14ac:dyDescent="0.25">
      <c r="A330" s="39">
        <v>41883</v>
      </c>
      <c r="J330" s="6">
        <f>21528*1000/30/24/60</f>
        <v>498.33333333333331</v>
      </c>
      <c r="K330" s="10">
        <f>7375*1000/30/24/60</f>
        <v>170.71759259259261</v>
      </c>
      <c r="P330" s="20">
        <f>30374*1000/30/24/60</f>
        <v>703.10185185185185</v>
      </c>
    </row>
    <row r="331" spans="1:17" ht="15.75" x14ac:dyDescent="0.25">
      <c r="A331" s="39">
        <v>41913</v>
      </c>
      <c r="J331" s="6">
        <v>508</v>
      </c>
      <c r="K331" s="10">
        <v>173</v>
      </c>
      <c r="P331" s="20">
        <v>646</v>
      </c>
      <c r="Q331" s="20">
        <v>682</v>
      </c>
    </row>
    <row r="332" spans="1:17" ht="15.75" x14ac:dyDescent="0.25">
      <c r="A332" s="39">
        <v>41944</v>
      </c>
      <c r="J332" s="6">
        <v>635</v>
      </c>
      <c r="P332" s="20">
        <v>659</v>
      </c>
      <c r="Q332" s="20">
        <v>697</v>
      </c>
    </row>
    <row r="333" spans="1:17" ht="15.75" x14ac:dyDescent="0.25">
      <c r="A333" s="39">
        <v>41974</v>
      </c>
      <c r="J333" s="6">
        <v>679</v>
      </c>
      <c r="P333" s="20">
        <v>658</v>
      </c>
      <c r="Q333" s="20">
        <v>696</v>
      </c>
    </row>
    <row r="334" spans="1:17" ht="15.75" x14ac:dyDescent="0.25">
      <c r="A334" s="39">
        <v>42005</v>
      </c>
      <c r="J334" s="6">
        <v>729.72650089605736</v>
      </c>
      <c r="P334" s="20">
        <v>623.29749103942652</v>
      </c>
      <c r="Q334" s="20">
        <v>685.73028673835131</v>
      </c>
    </row>
    <row r="335" spans="1:17" ht="15.75" x14ac:dyDescent="0.25">
      <c r="A335" s="39">
        <v>42036</v>
      </c>
      <c r="J335" s="6">
        <v>730.70015624999883</v>
      </c>
      <c r="P335" s="20">
        <v>625.19841269841277</v>
      </c>
      <c r="Q335" s="20">
        <v>690.02976190476193</v>
      </c>
    </row>
    <row r="336" spans="1:17" ht="15.75" x14ac:dyDescent="0.25">
      <c r="A336" s="39">
        <v>42064</v>
      </c>
      <c r="J336" s="6">
        <v>741.94258736559198</v>
      </c>
      <c r="Q336" s="20">
        <v>700.17921146953415</v>
      </c>
    </row>
    <row r="337" spans="1:17" ht="15.75" x14ac:dyDescent="0.25">
      <c r="A337" s="39">
        <v>42095</v>
      </c>
      <c r="J337" s="6">
        <v>532.32250925925871</v>
      </c>
      <c r="Q337" s="20">
        <v>682.75462962962956</v>
      </c>
    </row>
    <row r="338" spans="1:17" ht="15.75" x14ac:dyDescent="0.25">
      <c r="A338" s="39">
        <v>42125</v>
      </c>
      <c r="C338" s="10">
        <v>737.20467965949751</v>
      </c>
      <c r="J338" s="6">
        <v>691.5491778673852</v>
      </c>
      <c r="Q338" s="20">
        <v>697.7598566308244</v>
      </c>
    </row>
    <row r="339" spans="1:17" ht="15.75" x14ac:dyDescent="0.25">
      <c r="A339" s="39">
        <v>42156</v>
      </c>
      <c r="C339" s="10">
        <v>729.14888888888959</v>
      </c>
      <c r="J339" s="6">
        <v>725.36930555555443</v>
      </c>
      <c r="Q339" s="20">
        <v>683.64695340501794</v>
      </c>
    </row>
    <row r="340" spans="1:17" ht="15.75" x14ac:dyDescent="0.25">
      <c r="A340" s="39">
        <v>42186</v>
      </c>
      <c r="C340" s="10">
        <v>727.09343413978434</v>
      </c>
      <c r="J340" s="6">
        <v>744.2747401433686</v>
      </c>
      <c r="Q340" s="20">
        <v>678.80824372759855</v>
      </c>
    </row>
    <row r="341" spans="1:17" ht="15.75" x14ac:dyDescent="0.25">
      <c r="A341" s="39">
        <v>42217</v>
      </c>
      <c r="C341" s="10">
        <v>731.15518369175561</v>
      </c>
      <c r="J341" s="6">
        <v>754.22574820788475</v>
      </c>
      <c r="Q341" s="20">
        <v>705.46594982078864</v>
      </c>
    </row>
    <row r="342" spans="1:17" ht="15.75" x14ac:dyDescent="0.25">
      <c r="A342" s="39">
        <v>42248</v>
      </c>
      <c r="C342" s="10">
        <f>33599*1000/30/24/60</f>
        <v>777.75462962962968</v>
      </c>
      <c r="J342" s="6">
        <f>32317*1000/30/24/60</f>
        <v>748.0787037037037</v>
      </c>
      <c r="Q342" s="20">
        <f>24560*1000/30/24/60</f>
        <v>568.51851851851848</v>
      </c>
    </row>
    <row r="343" spans="1:17" ht="15.75" x14ac:dyDescent="0.25">
      <c r="A343" s="39">
        <v>42278</v>
      </c>
      <c r="C343" s="10">
        <f>34905*1000/30/24/60</f>
        <v>807.98611111111109</v>
      </c>
      <c r="J343" s="6">
        <f>33055*1000/31/24/60</f>
        <v>740.47939068100345</v>
      </c>
      <c r="Q343" s="20">
        <f>28602*1000/30/24/60</f>
        <v>662.08333333333337</v>
      </c>
    </row>
    <row r="344" spans="1:17" ht="15.75" x14ac:dyDescent="0.25">
      <c r="A344" s="39">
        <v>42309</v>
      </c>
      <c r="C344" s="10">
        <f>34374*1000/30/24/60</f>
        <v>795.69444444444446</v>
      </c>
      <c r="J344" s="6">
        <f>32239*1000/30/24/60</f>
        <v>746.27314814814804</v>
      </c>
      <c r="Q344" s="20">
        <f>29211*1000/30/24/60</f>
        <v>676.18055555555554</v>
      </c>
    </row>
    <row r="345" spans="1:17" ht="15.75" x14ac:dyDescent="0.25">
      <c r="A345" s="39">
        <v>42339</v>
      </c>
      <c r="C345" s="10">
        <f>34647*1000/30/24/60</f>
        <v>802.01388888888891</v>
      </c>
      <c r="J345" s="6">
        <f>33395*1000/31/24/60</f>
        <v>748.09587813620067</v>
      </c>
      <c r="Q345" s="20">
        <f>30269*1000/30/24/60</f>
        <v>700.67129629629619</v>
      </c>
    </row>
    <row r="346" spans="1:17" ht="15.75" x14ac:dyDescent="0.25">
      <c r="A346" s="39">
        <v>42370</v>
      </c>
      <c r="C346" s="10">
        <f>34952*1000/31/24/60</f>
        <v>782.97491039426518</v>
      </c>
      <c r="J346" s="6">
        <f>32377*1000/31/24/60</f>
        <v>725.29121863799287</v>
      </c>
      <c r="Q346" s="20">
        <f>30982*1000/31/24/60</f>
        <v>694.04121863799287</v>
      </c>
    </row>
    <row r="347" spans="1:17" ht="15.75" x14ac:dyDescent="0.25">
      <c r="A347" s="39">
        <v>42401</v>
      </c>
      <c r="C347" s="10">
        <f>30246*1000/29/24/60</f>
        <v>724.28160919540232</v>
      </c>
      <c r="J347" s="6">
        <f>31471*1000/29/24/60</f>
        <v>753.61590038314171</v>
      </c>
      <c r="Q347" s="20">
        <f>28927*1000/29/24/60</f>
        <v>692.69636015325671</v>
      </c>
    </row>
    <row r="348" spans="1:17" ht="15.75" x14ac:dyDescent="0.25">
      <c r="A348" s="39">
        <v>42430</v>
      </c>
      <c r="B348" s="11">
        <f>22320*1000/31/24/60</f>
        <v>500</v>
      </c>
      <c r="C348" s="10">
        <f>35917*1000/31/24/60</f>
        <v>804.59229390681003</v>
      </c>
      <c r="J348" s="6">
        <f>32673*1000/31/24/60</f>
        <v>731.92204301075265</v>
      </c>
      <c r="Q348" s="20">
        <f>30931*1000/31/24/60</f>
        <v>692.89874551971332</v>
      </c>
    </row>
    <row r="349" spans="1:17" ht="15.75" x14ac:dyDescent="0.25">
      <c r="A349" s="39">
        <v>42461</v>
      </c>
      <c r="B349" s="11">
        <v>500</v>
      </c>
      <c r="C349" s="10">
        <v>792</v>
      </c>
      <c r="J349" s="6">
        <v>754</v>
      </c>
      <c r="Q349" s="20">
        <v>675</v>
      </c>
    </row>
    <row r="350" spans="1:17" ht="15.75" x14ac:dyDescent="0.25">
      <c r="A350" s="39">
        <v>42491</v>
      </c>
      <c r="B350" s="11">
        <v>500</v>
      </c>
      <c r="C350" s="10">
        <v>786</v>
      </c>
      <c r="J350" s="6">
        <v>745</v>
      </c>
      <c r="Q350" s="20">
        <v>690</v>
      </c>
    </row>
    <row r="351" spans="1:17" ht="15.75" x14ac:dyDescent="0.25">
      <c r="A351" s="39">
        <v>42522</v>
      </c>
      <c r="B351" s="11">
        <v>500</v>
      </c>
      <c r="C351" s="10">
        <v>782.8966921296302</v>
      </c>
      <c r="J351" s="6">
        <v>751.81584722222215</v>
      </c>
      <c r="Q351" s="20">
        <v>713.00925925925924</v>
      </c>
    </row>
    <row r="352" spans="1:17" ht="15.75" x14ac:dyDescent="0.25">
      <c r="A352" s="39">
        <v>42552</v>
      </c>
      <c r="B352" s="13">
        <v>477</v>
      </c>
      <c r="C352" s="10">
        <v>748.57164102563991</v>
      </c>
      <c r="J352" s="14">
        <v>497.008547008547</v>
      </c>
      <c r="Q352" s="20">
        <v>658.16239316239319</v>
      </c>
    </row>
    <row r="353" spans="1:18" ht="15.75" x14ac:dyDescent="0.25">
      <c r="A353" s="39">
        <v>42583</v>
      </c>
      <c r="B353" s="15">
        <v>713</v>
      </c>
      <c r="C353" s="10">
        <v>781.71223566308333</v>
      </c>
      <c r="J353" s="6">
        <v>747.62544802867387</v>
      </c>
      <c r="Q353" s="20">
        <v>690.00896057347677</v>
      </c>
    </row>
    <row r="354" spans="1:18" ht="15.75" x14ac:dyDescent="0.25">
      <c r="A354" s="39">
        <v>42614</v>
      </c>
      <c r="B354" s="15">
        <v>674.83796296296305</v>
      </c>
      <c r="C354" s="10">
        <v>778.5568379629625</v>
      </c>
      <c r="J354" s="6">
        <v>764.62962962962968</v>
      </c>
      <c r="Q354" s="20">
        <v>694.21296296296293</v>
      </c>
    </row>
    <row r="355" spans="1:18" ht="15.75" x14ac:dyDescent="0.25">
      <c r="A355" s="39">
        <v>42644</v>
      </c>
      <c r="B355" s="15">
        <v>648.23028673835131</v>
      </c>
      <c r="C355" s="10">
        <v>782.00372983870955</v>
      </c>
      <c r="J355" s="6">
        <v>778.27060931899655</v>
      </c>
      <c r="Q355" s="20">
        <v>684.90143369175632</v>
      </c>
    </row>
    <row r="356" spans="1:18" ht="15.75" x14ac:dyDescent="0.25">
      <c r="A356" s="39">
        <v>42675</v>
      </c>
      <c r="B356" s="15">
        <v>613</v>
      </c>
      <c r="C356" s="10">
        <v>731</v>
      </c>
      <c r="J356" s="6">
        <v>774</v>
      </c>
      <c r="Q356" s="20">
        <v>683</v>
      </c>
    </row>
    <row r="357" spans="1:18" ht="15.75" x14ac:dyDescent="0.25">
      <c r="A357" s="39">
        <v>42705</v>
      </c>
      <c r="B357" s="11">
        <v>644</v>
      </c>
      <c r="C357" s="10">
        <v>788</v>
      </c>
      <c r="J357" s="6">
        <v>781</v>
      </c>
      <c r="R357" s="16">
        <v>742.02508960573482</v>
      </c>
    </row>
    <row r="358" spans="1:18" ht="15.75" x14ac:dyDescent="0.25">
      <c r="A358" s="39">
        <v>42736</v>
      </c>
      <c r="B358" s="11">
        <v>691</v>
      </c>
      <c r="C358" s="10">
        <v>777</v>
      </c>
      <c r="J358" s="6">
        <v>798</v>
      </c>
      <c r="R358" s="16">
        <v>745.79749103942663</v>
      </c>
    </row>
    <row r="359" spans="1:18" ht="15.75" x14ac:dyDescent="0.25">
      <c r="A359" s="39">
        <v>42767</v>
      </c>
      <c r="B359" s="16">
        <v>688.34325396825398</v>
      </c>
      <c r="C359" s="16">
        <v>754.38988095238096</v>
      </c>
      <c r="J359" s="17">
        <v>799.7519841269841</v>
      </c>
      <c r="R359" s="16">
        <v>746.15575396825398</v>
      </c>
    </row>
    <row r="360" spans="1:18" ht="15.75" x14ac:dyDescent="0.25">
      <c r="A360" s="39">
        <v>42795</v>
      </c>
      <c r="B360" s="16">
        <v>673.2078853046595</v>
      </c>
      <c r="C360" s="16">
        <v>783.69754480286724</v>
      </c>
      <c r="J360" s="17">
        <v>790.54659498207877</v>
      </c>
      <c r="R360" s="16">
        <v>720.75492831541226</v>
      </c>
    </row>
    <row r="361" spans="1:18" ht="15.75" x14ac:dyDescent="0.25">
      <c r="A361" s="39">
        <v>42826</v>
      </c>
      <c r="B361" s="16">
        <v>640.16203703703707</v>
      </c>
      <c r="C361" s="16">
        <v>783.73497916666656</v>
      </c>
      <c r="D361" s="16">
        <v>148.42592592592601</v>
      </c>
      <c r="J361" s="17">
        <v>788.7037037037037</v>
      </c>
      <c r="R361" s="16">
        <v>717.06018518518511</v>
      </c>
    </row>
    <row r="362" spans="1:18" ht="15.75" x14ac:dyDescent="0.25">
      <c r="A362" s="39">
        <v>42856</v>
      </c>
      <c r="B362" s="16">
        <v>485.97670250896061</v>
      </c>
      <c r="C362" s="16">
        <v>789.87692428315427</v>
      </c>
      <c r="D362" s="16">
        <v>156.40681003584228</v>
      </c>
      <c r="J362" s="17">
        <v>794.06362007168457</v>
      </c>
      <c r="R362" s="16">
        <v>726.36200716845872</v>
      </c>
    </row>
    <row r="363" spans="1:18" ht="15.75" x14ac:dyDescent="0.25">
      <c r="A363" s="39">
        <v>42887</v>
      </c>
      <c r="B363" s="16">
        <v>811.15277777777783</v>
      </c>
      <c r="C363" s="16">
        <v>786.20737499999996</v>
      </c>
      <c r="D363" s="16">
        <v>150.16203703703704</v>
      </c>
      <c r="J363" s="17">
        <v>791.55092592592587</v>
      </c>
      <c r="R363" s="16">
        <v>715.50925925925924</v>
      </c>
    </row>
    <row r="364" spans="1:18" ht="15.75" x14ac:dyDescent="0.25">
      <c r="A364" s="39">
        <v>42917</v>
      </c>
      <c r="B364" s="16">
        <v>785.73476702508958</v>
      </c>
      <c r="C364" s="16">
        <v>686.5152195340504</v>
      </c>
      <c r="D364" s="16">
        <v>154.77150537634409</v>
      </c>
      <c r="J364" s="17">
        <v>772.55824372759844</v>
      </c>
      <c r="R364" s="16">
        <v>728.62903225806451</v>
      </c>
    </row>
    <row r="365" spans="1:18" ht="15.75" x14ac:dyDescent="0.25">
      <c r="A365" s="39">
        <v>42948</v>
      </c>
      <c r="B365" s="16">
        <v>298.36469534050178</v>
      </c>
      <c r="C365" s="16">
        <v>692.69713261648747</v>
      </c>
      <c r="D365" s="16">
        <v>64.560931899641574</v>
      </c>
      <c r="J365" s="17">
        <v>776.09767025089616</v>
      </c>
      <c r="R365" s="16">
        <v>728.80824372759844</v>
      </c>
    </row>
    <row r="366" spans="1:18" ht="15.75" x14ac:dyDescent="0.25">
      <c r="A366" s="39">
        <v>42979</v>
      </c>
      <c r="B366" s="18"/>
      <c r="C366" s="18"/>
      <c r="D366" s="18"/>
      <c r="J366" s="19"/>
      <c r="R366" s="18"/>
    </row>
    <row r="367" spans="1:18" ht="15.75" x14ac:dyDescent="0.25">
      <c r="A367" s="39">
        <v>43009</v>
      </c>
      <c r="B367" s="18"/>
      <c r="C367" s="18"/>
      <c r="D367" s="18"/>
      <c r="J367" s="19"/>
      <c r="R367" s="18"/>
    </row>
    <row r="368" spans="1:18" ht="15.75" x14ac:dyDescent="0.25">
      <c r="A368" s="39">
        <v>43040</v>
      </c>
      <c r="B368" s="18"/>
      <c r="C368" s="18"/>
      <c r="D368" s="18"/>
      <c r="J368" s="19"/>
      <c r="R368" s="18"/>
    </row>
    <row r="369" spans="1:18" ht="15.75" x14ac:dyDescent="0.25">
      <c r="A369" s="39">
        <v>43070</v>
      </c>
      <c r="B369" s="18"/>
      <c r="C369" s="18"/>
      <c r="D369" s="18"/>
      <c r="J369" s="19"/>
      <c r="R369" s="18"/>
    </row>
    <row r="370" spans="1:18" ht="15.75" x14ac:dyDescent="0.25">
      <c r="A370" s="39">
        <v>43101</v>
      </c>
      <c r="B370" s="16">
        <v>666.24103942652334</v>
      </c>
      <c r="C370" s="16">
        <v>785.70793906809979</v>
      </c>
      <c r="D370" s="16">
        <v>2422.9614695340501</v>
      </c>
      <c r="J370" s="17">
        <v>802.50896057347677</v>
      </c>
      <c r="Q370" s="16">
        <v>687.85842293906808</v>
      </c>
      <c r="R370" s="16">
        <v>748.45430107526886</v>
      </c>
    </row>
    <row r="371" spans="1:18" ht="15.75" x14ac:dyDescent="0.25">
      <c r="A371" s="39">
        <v>43132</v>
      </c>
      <c r="B371" s="16">
        <v>599.52941716269606</v>
      </c>
      <c r="C371" s="16">
        <v>788.4765128968254</v>
      </c>
      <c r="D371" s="16">
        <v>194.27083333333334</v>
      </c>
      <c r="J371" s="17">
        <v>796.23015873015879</v>
      </c>
      <c r="Q371" s="16">
        <v>692.78273809523807</v>
      </c>
      <c r="R371" s="16">
        <v>748.05059523809518</v>
      </c>
    </row>
    <row r="372" spans="1:18" ht="15.75" x14ac:dyDescent="0.25">
      <c r="A372" s="39">
        <v>43160</v>
      </c>
      <c r="B372" s="16">
        <v>678.07196236559355</v>
      </c>
      <c r="C372" s="16">
        <v>780.75852150537719</v>
      </c>
      <c r="D372" s="16">
        <v>189.00089605734769</v>
      </c>
      <c r="J372" s="17">
        <v>788.03763440860223</v>
      </c>
      <c r="Q372" s="16">
        <v>684.45340501792111</v>
      </c>
      <c r="R372" s="16">
        <v>750.34722222222217</v>
      </c>
    </row>
    <row r="373" spans="1:18" ht="15.75" x14ac:dyDescent="0.25">
      <c r="A373" s="39">
        <v>43191</v>
      </c>
      <c r="B373" s="16">
        <v>585.53240740740739</v>
      </c>
      <c r="C373" s="16">
        <v>779.84072685185129</v>
      </c>
      <c r="D373" s="16">
        <v>191.75925925925924</v>
      </c>
      <c r="J373" s="17">
        <v>782.31481481481478</v>
      </c>
      <c r="Q373" s="16">
        <v>700.71759259259261</v>
      </c>
      <c r="R373" s="16">
        <v>739.12037037037032</v>
      </c>
    </row>
    <row r="374" spans="1:18" ht="15.75" x14ac:dyDescent="0.25">
      <c r="A374" s="39">
        <v>43221</v>
      </c>
      <c r="C374" s="16">
        <v>789.76925403225812</v>
      </c>
      <c r="D374" s="16">
        <v>180.5779569892473</v>
      </c>
      <c r="J374" s="17">
        <v>792.02508960573482</v>
      </c>
      <c r="Q374" s="16">
        <v>693.48118279569894</v>
      </c>
      <c r="R374" s="16">
        <v>740.59363799283153</v>
      </c>
    </row>
    <row r="375" spans="1:18" ht="15.75" x14ac:dyDescent="0.25">
      <c r="A375" s="39">
        <v>43252</v>
      </c>
      <c r="C375" s="16">
        <v>792.14184027777776</v>
      </c>
      <c r="D375" s="16">
        <v>204.49074074074076</v>
      </c>
      <c r="J375" s="17">
        <v>790.99537037037032</v>
      </c>
      <c r="Q375" s="16">
        <v>688.42592592592598</v>
      </c>
      <c r="R375" s="16">
        <v>741.04861111111109</v>
      </c>
    </row>
    <row r="376" spans="1:18" ht="15.75" x14ac:dyDescent="0.25">
      <c r="A376" s="39">
        <v>43282</v>
      </c>
      <c r="C376" s="16">
        <v>713.69004256272399</v>
      </c>
      <c r="J376" s="17">
        <v>779.56989247311833</v>
      </c>
      <c r="Q376" s="16">
        <v>687.32078853046596</v>
      </c>
      <c r="R376" s="16">
        <v>722.63440860215053</v>
      </c>
    </row>
    <row r="377" spans="1:18" ht="15.75" x14ac:dyDescent="0.25">
      <c r="A377" s="39">
        <v>43313</v>
      </c>
      <c r="C377" s="16">
        <v>787.22082661290426</v>
      </c>
      <c r="J377" s="17">
        <v>782.10125448028668</v>
      </c>
      <c r="Q377" s="16">
        <v>687.02956989247309</v>
      </c>
      <c r="R377" s="16">
        <v>731.02598566308245</v>
      </c>
    </row>
    <row r="378" spans="1:18" ht="15.75" x14ac:dyDescent="0.25">
      <c r="A378" s="39">
        <v>43344</v>
      </c>
      <c r="C378" s="16">
        <v>756.71238425925924</v>
      </c>
      <c r="J378" s="17">
        <v>683.84259259259261</v>
      </c>
      <c r="Q378" s="16">
        <v>675.0462962962963</v>
      </c>
      <c r="R378" s="16">
        <v>723.95138888888891</v>
      </c>
    </row>
    <row r="379" spans="1:18" ht="15.75" x14ac:dyDescent="0.25">
      <c r="A379" s="39">
        <v>43374</v>
      </c>
      <c r="C379" s="16">
        <v>696.84170176223131</v>
      </c>
      <c r="J379" s="17">
        <v>789.31451612903231</v>
      </c>
      <c r="R379" s="16">
        <v>735.78405017921148</v>
      </c>
    </row>
    <row r="380" spans="1:18" ht="15.75" x14ac:dyDescent="0.25">
      <c r="A380" s="39">
        <v>43405</v>
      </c>
      <c r="C380" s="16">
        <v>776.1889938271737</v>
      </c>
      <c r="J380" s="17">
        <v>791.50462962962968</v>
      </c>
      <c r="R380" s="16">
        <v>706.87731481481489</v>
      </c>
    </row>
    <row r="381" spans="1:18" ht="15.75" x14ac:dyDescent="0.25">
      <c r="A381" s="39">
        <v>43435</v>
      </c>
      <c r="C381" s="16">
        <v>754.79218413978538</v>
      </c>
      <c r="J381" s="17">
        <v>792.04749103942663</v>
      </c>
      <c r="R381" s="16">
        <v>686.22311827956992</v>
      </c>
    </row>
    <row r="382" spans="1:18" ht="15.75" x14ac:dyDescent="0.25">
      <c r="A382" s="39">
        <v>43466</v>
      </c>
      <c r="C382" s="10">
        <v>801.0035618279569</v>
      </c>
      <c r="J382" s="6">
        <v>799.08154121863799</v>
      </c>
      <c r="R382" s="16">
        <v>748.2302867383512</v>
      </c>
    </row>
    <row r="383" spans="1:18" ht="15.75" x14ac:dyDescent="0.25">
      <c r="A383" s="39">
        <v>43497</v>
      </c>
      <c r="C383" s="10">
        <v>778.9766617063492</v>
      </c>
      <c r="J383" s="6">
        <v>799.80158730158735</v>
      </c>
      <c r="R383" s="16">
        <v>707.91170634920638</v>
      </c>
    </row>
    <row r="384" spans="1:18" ht="15.75" x14ac:dyDescent="0.25">
      <c r="A384" s="39">
        <v>43525</v>
      </c>
      <c r="C384" s="10">
        <v>786.66896057347617</v>
      </c>
      <c r="J384" s="6">
        <v>783.4677419354839</v>
      </c>
      <c r="R384" s="16">
        <v>703.62903225806451</v>
      </c>
    </row>
    <row r="385" spans="1:18" ht="15.75" x14ac:dyDescent="0.25">
      <c r="A385" s="39">
        <v>43556</v>
      </c>
      <c r="C385" s="10">
        <v>780.89506365740738</v>
      </c>
      <c r="J385" s="6">
        <v>785.81018518518522</v>
      </c>
      <c r="R385" s="16">
        <v>676.15740740740739</v>
      </c>
    </row>
    <row r="386" spans="1:18" ht="15.75" x14ac:dyDescent="0.25">
      <c r="A386" s="39">
        <v>43586</v>
      </c>
      <c r="B386" s="11">
        <v>639.77337813619988</v>
      </c>
      <c r="C386" s="10">
        <v>779.7349831989269</v>
      </c>
      <c r="J386" s="6">
        <v>784.61021505376334</v>
      </c>
      <c r="R386" s="16">
        <v>675.69444444444446</v>
      </c>
    </row>
    <row r="387" spans="1:18" ht="15.75" x14ac:dyDescent="0.25">
      <c r="A387" s="39">
        <v>43617</v>
      </c>
      <c r="B387" s="11">
        <v>594.07622983871056</v>
      </c>
      <c r="C387" s="10">
        <v>753.46343010752639</v>
      </c>
      <c r="J387" s="6">
        <v>757.43727598566318</v>
      </c>
      <c r="R387" s="16">
        <v>695.23148148148152</v>
      </c>
    </row>
    <row r="388" spans="1:18" ht="15.75" x14ac:dyDescent="0.25">
      <c r="A388" s="39">
        <v>43647</v>
      </c>
      <c r="B388" s="16">
        <v>609.99103942652323</v>
      </c>
      <c r="C388" s="20">
        <v>733.98210304659335</v>
      </c>
      <c r="J388" s="17">
        <v>781.76523297491042</v>
      </c>
      <c r="R388" s="16">
        <v>646.55017921146953</v>
      </c>
    </row>
    <row r="389" spans="1:18" ht="15.75" x14ac:dyDescent="0.25">
      <c r="A389" s="39">
        <v>43678</v>
      </c>
      <c r="B389" s="16">
        <v>609.99103942652323</v>
      </c>
      <c r="C389" s="20">
        <v>746.27333781362165</v>
      </c>
      <c r="J389" s="17">
        <v>781.89964157706095</v>
      </c>
      <c r="R389" s="16">
        <v>681.92204301075265</v>
      </c>
    </row>
    <row r="390" spans="1:18" ht="15.75" x14ac:dyDescent="0.25">
      <c r="A390" s="39">
        <v>43709</v>
      </c>
      <c r="B390" s="16">
        <v>610.71759259259261</v>
      </c>
      <c r="C390" s="16">
        <v>683.61111111111109</v>
      </c>
      <c r="J390" s="17">
        <v>780.81018518518522</v>
      </c>
    </row>
    <row r="391" spans="1:18" ht="15" customHeight="1" x14ac:dyDescent="0.25">
      <c r="A391" s="40">
        <v>43739</v>
      </c>
      <c r="B391" s="16">
        <v>708.25672267025141</v>
      </c>
      <c r="C391" s="16">
        <v>684.99103942652334</v>
      </c>
      <c r="J391" s="17">
        <v>782.52688172043008</v>
      </c>
    </row>
    <row r="392" spans="1:18" ht="15" customHeight="1" x14ac:dyDescent="0.25">
      <c r="A392" s="40">
        <v>43770</v>
      </c>
      <c r="B392" s="16">
        <v>632.59259259259261</v>
      </c>
      <c r="C392" s="16">
        <v>685</v>
      </c>
      <c r="J392" s="17">
        <v>782.36111111111109</v>
      </c>
    </row>
    <row r="393" spans="1:18" ht="15" customHeight="1" x14ac:dyDescent="0.25">
      <c r="A393" s="40">
        <v>43800</v>
      </c>
      <c r="B393" s="16">
        <v>632.5940860215054</v>
      </c>
      <c r="C393" s="16">
        <v>684.99103942652334</v>
      </c>
      <c r="J393" s="17">
        <v>786.33512544802863</v>
      </c>
    </row>
    <row r="394" spans="1:18" ht="15" customHeight="1" x14ac:dyDescent="0.25">
      <c r="A394" s="40">
        <v>43831</v>
      </c>
      <c r="B394" s="16">
        <v>632.5940860215054</v>
      </c>
      <c r="C394" s="16">
        <v>684.99103942652334</v>
      </c>
      <c r="J394" s="16">
        <v>789.78494623655911</v>
      </c>
    </row>
    <row r="395" spans="1:18" ht="15" customHeight="1" x14ac:dyDescent="0.25">
      <c r="A395" s="40">
        <v>43862</v>
      </c>
      <c r="B395" s="16">
        <v>632.59099616858236</v>
      </c>
      <c r="C395" s="16">
        <v>684.99103942652334</v>
      </c>
      <c r="J395" s="16">
        <v>790.82854406130275</v>
      </c>
    </row>
    <row r="396" spans="1:18" ht="15" customHeight="1" x14ac:dyDescent="0.25">
      <c r="A396" s="40">
        <v>43891</v>
      </c>
      <c r="B396" s="16">
        <v>632.5940860215054</v>
      </c>
      <c r="C396" s="16">
        <v>684.99103942652334</v>
      </c>
      <c r="J396" s="16">
        <v>799.01433691756279</v>
      </c>
    </row>
    <row r="397" spans="1:18" ht="15" customHeight="1" x14ac:dyDescent="0.25">
      <c r="A397" s="40">
        <v>43922</v>
      </c>
      <c r="B397" s="16">
        <v>632.59259259259261</v>
      </c>
      <c r="C397" s="16">
        <v>684.99103942652334</v>
      </c>
      <c r="J397" s="16">
        <v>801.41203703703695</v>
      </c>
    </row>
    <row r="398" spans="1:18" ht="15" customHeight="1" x14ac:dyDescent="0.25">
      <c r="A398" s="40">
        <v>43952</v>
      </c>
      <c r="B398" s="16">
        <v>632.5940860215054</v>
      </c>
      <c r="C398" s="16">
        <v>684.99103942652334</v>
      </c>
      <c r="J398" s="16">
        <v>795.45250896057337</v>
      </c>
    </row>
    <row r="399" spans="1:18" ht="15" customHeight="1" x14ac:dyDescent="0.25">
      <c r="A399" s="40">
        <v>43983</v>
      </c>
      <c r="B399" s="16">
        <v>632.59259259259261</v>
      </c>
      <c r="C399" s="16">
        <v>684.99103942652334</v>
      </c>
      <c r="J399" s="16">
        <v>788.33333333333337</v>
      </c>
    </row>
    <row r="400" spans="1:18" ht="15" customHeight="1" x14ac:dyDescent="0.25">
      <c r="A400" s="40">
        <v>44013</v>
      </c>
      <c r="B400" s="16">
        <v>632.5940860215054</v>
      </c>
      <c r="C400" s="16">
        <v>723.83512544802875</v>
      </c>
      <c r="J400" s="16">
        <v>781.85483870967744</v>
      </c>
    </row>
    <row r="401" spans="1:10" ht="15" customHeight="1" x14ac:dyDescent="0.25">
      <c r="A401" s="40">
        <v>44044</v>
      </c>
      <c r="B401" s="16">
        <v>632.5940860215054</v>
      </c>
      <c r="C401" s="16">
        <v>714.37878584229395</v>
      </c>
      <c r="J401" s="16">
        <v>781.25</v>
      </c>
    </row>
    <row r="402" spans="1:10" ht="15" customHeight="1" x14ac:dyDescent="0.25">
      <c r="A402" s="40">
        <v>44075</v>
      </c>
      <c r="B402" s="16">
        <v>632.59259259259261</v>
      </c>
      <c r="C402" s="16">
        <v>718.50597222222223</v>
      </c>
      <c r="J402" s="16">
        <v>784.4675925925925</v>
      </c>
    </row>
    <row r="403" spans="1:10" ht="15" customHeight="1" x14ac:dyDescent="0.25">
      <c r="A403" s="40">
        <v>44105</v>
      </c>
      <c r="B403" s="16">
        <v>632.5940860215054</v>
      </c>
      <c r="C403" s="16">
        <v>708.35483870967744</v>
      </c>
      <c r="J403" s="16">
        <v>782.45967741935488</v>
      </c>
    </row>
    <row r="404" spans="1:10" ht="15" customHeight="1" x14ac:dyDescent="0.25">
      <c r="A404" s="40">
        <v>44136</v>
      </c>
      <c r="B404" s="16">
        <v>429.95370370370375</v>
      </c>
      <c r="C404" s="16">
        <v>722.3655555555556</v>
      </c>
      <c r="J404" s="16">
        <v>784.60648148148141</v>
      </c>
    </row>
    <row r="405" spans="1:10" ht="15" customHeight="1" x14ac:dyDescent="0.25">
      <c r="A405" s="40">
        <v>44166</v>
      </c>
      <c r="B405" s="16">
        <v>745.97222222222206</v>
      </c>
      <c r="C405" s="16">
        <v>719.12564964157707</v>
      </c>
      <c r="J405" s="16">
        <v>791.28584229390674</v>
      </c>
    </row>
    <row r="406" spans="1:10" ht="15" customHeight="1" x14ac:dyDescent="0.25">
      <c r="A406" s="40">
        <v>44197</v>
      </c>
      <c r="B406" s="16">
        <v>628.30667562724011</v>
      </c>
      <c r="C406" s="16">
        <v>722.54220430107523</v>
      </c>
      <c r="J406" s="16">
        <v>792.3835125448029</v>
      </c>
    </row>
    <row r="407" spans="1:10" ht="15" customHeight="1" x14ac:dyDescent="0.25">
      <c r="A407" s="40">
        <v>44228</v>
      </c>
      <c r="B407" s="16">
        <v>624.53199404761904</v>
      </c>
      <c r="C407" s="16">
        <v>719.46562500000005</v>
      </c>
      <c r="J407" s="16">
        <v>792.31150793650784</v>
      </c>
    </row>
    <row r="408" spans="1:10" ht="15" customHeight="1" x14ac:dyDescent="0.25">
      <c r="A408" s="40">
        <v>44256</v>
      </c>
      <c r="B408" s="16">
        <v>632.00918458781359</v>
      </c>
      <c r="C408" s="16">
        <v>721.81570340501798</v>
      </c>
      <c r="J408" s="16">
        <v>792.62992831541214</v>
      </c>
    </row>
    <row r="409" spans="1:10" ht="15" customHeight="1" x14ac:dyDescent="0.25">
      <c r="A409" s="40">
        <v>44287</v>
      </c>
      <c r="B409" s="16">
        <v>647.7856481481482</v>
      </c>
      <c r="C409" s="16">
        <v>723.10368055555557</v>
      </c>
      <c r="J409" s="16">
        <v>793.98148148148141</v>
      </c>
    </row>
    <row r="410" spans="1:10" ht="15" customHeight="1" x14ac:dyDescent="0.25">
      <c r="A410" s="40">
        <v>44317</v>
      </c>
      <c r="B410" s="16">
        <v>642.24708781362006</v>
      </c>
      <c r="C410" s="16">
        <v>722.10044802867378</v>
      </c>
      <c r="J410" s="16">
        <v>785.95430107526886</v>
      </c>
    </row>
    <row r="411" spans="1:10" ht="15" customHeight="1" x14ac:dyDescent="0.25">
      <c r="A411" s="40">
        <v>44348</v>
      </c>
      <c r="C411" s="16">
        <v>719.67979166666669</v>
      </c>
      <c r="J411" s="16">
        <v>780.50925925925924</v>
      </c>
    </row>
    <row r="412" spans="1:10" ht="15" customHeight="1" x14ac:dyDescent="0.25">
      <c r="A412" s="40">
        <v>44378</v>
      </c>
      <c r="C412" s="16">
        <v>722.77116935483878</v>
      </c>
      <c r="J412" s="16">
        <v>777.82258064516122</v>
      </c>
    </row>
    <row r="413" spans="1:10" ht="15" customHeight="1" x14ac:dyDescent="0.25">
      <c r="A413" s="40">
        <v>44409</v>
      </c>
      <c r="C413" s="16">
        <v>772</v>
      </c>
      <c r="J413" s="16">
        <v>800</v>
      </c>
    </row>
    <row r="414" spans="1:10" ht="15.75" x14ac:dyDescent="0.25">
      <c r="A414" s="40">
        <v>44440</v>
      </c>
      <c r="C414" s="20">
        <v>774</v>
      </c>
      <c r="J414" s="16">
        <v>800</v>
      </c>
    </row>
    <row r="415" spans="1:10" ht="15.75" x14ac:dyDescent="0.25">
      <c r="A415" s="40">
        <v>44470</v>
      </c>
      <c r="C415" s="20">
        <v>774</v>
      </c>
      <c r="J415" s="16">
        <v>800</v>
      </c>
    </row>
    <row r="416" spans="1:10" ht="15.75" x14ac:dyDescent="0.25">
      <c r="A416" s="40">
        <v>44501</v>
      </c>
      <c r="C416" s="20">
        <v>772</v>
      </c>
      <c r="J416" s="16">
        <v>799</v>
      </c>
    </row>
    <row r="417" spans="1:17" ht="15.75" x14ac:dyDescent="0.25">
      <c r="A417" s="40">
        <v>44531</v>
      </c>
      <c r="C417" s="20">
        <v>775</v>
      </c>
      <c r="J417" s="16">
        <v>805</v>
      </c>
    </row>
    <row r="418" spans="1:17" ht="15.75" x14ac:dyDescent="0.25">
      <c r="A418" s="40">
        <v>44562</v>
      </c>
      <c r="C418" s="20">
        <v>776</v>
      </c>
      <c r="J418" s="16">
        <v>801</v>
      </c>
    </row>
    <row r="419" spans="1:17" ht="15.75" x14ac:dyDescent="0.25">
      <c r="A419" s="40">
        <v>44593</v>
      </c>
      <c r="C419" s="20">
        <v>777</v>
      </c>
      <c r="J419" s="16">
        <v>801</v>
      </c>
    </row>
    <row r="420" spans="1:17" ht="15.75" x14ac:dyDescent="0.25">
      <c r="A420" s="40">
        <v>44621</v>
      </c>
      <c r="C420" s="20">
        <v>776</v>
      </c>
      <c r="J420" s="16">
        <v>802</v>
      </c>
    </row>
    <row r="421" spans="1:17" ht="15.75" x14ac:dyDescent="0.25">
      <c r="A421" s="40">
        <v>44652</v>
      </c>
      <c r="C421" s="20">
        <v>774</v>
      </c>
      <c r="J421" s="16">
        <v>801</v>
      </c>
    </row>
    <row r="422" spans="1:17" ht="15.75" x14ac:dyDescent="0.25">
      <c r="A422" s="40">
        <v>44682</v>
      </c>
      <c r="C422" s="20">
        <v>762</v>
      </c>
      <c r="J422" s="16">
        <v>801</v>
      </c>
      <c r="Q422" s="7">
        <v>709</v>
      </c>
    </row>
    <row r="423" spans="1:17" ht="15.75" x14ac:dyDescent="0.25">
      <c r="A423" s="40">
        <v>44713</v>
      </c>
      <c r="C423" s="20">
        <v>772</v>
      </c>
      <c r="J423" s="16">
        <v>800</v>
      </c>
      <c r="Q423" s="7">
        <v>715</v>
      </c>
    </row>
    <row r="424" spans="1:17" ht="15.75" x14ac:dyDescent="0.25">
      <c r="A424" s="40">
        <v>44743</v>
      </c>
      <c r="C424" s="20">
        <v>772</v>
      </c>
      <c r="J424" s="16">
        <v>803</v>
      </c>
      <c r="Q424" s="7">
        <v>711</v>
      </c>
    </row>
    <row r="425" spans="1:17" ht="15.75" x14ac:dyDescent="0.25">
      <c r="A425" s="40">
        <v>44774</v>
      </c>
      <c r="C425" s="20">
        <v>772</v>
      </c>
      <c r="J425" s="16">
        <v>802</v>
      </c>
      <c r="Q425" s="7">
        <v>709</v>
      </c>
    </row>
    <row r="426" spans="1:17" ht="15.75" x14ac:dyDescent="0.25">
      <c r="A426" s="40">
        <v>44805</v>
      </c>
      <c r="C426" s="20">
        <v>689</v>
      </c>
      <c r="J426" s="16">
        <v>801</v>
      </c>
      <c r="Q426" s="7">
        <v>705</v>
      </c>
    </row>
    <row r="427" spans="1:17" ht="15.75" x14ac:dyDescent="0.25">
      <c r="A427" s="40">
        <v>44835</v>
      </c>
      <c r="C427" s="20">
        <v>672</v>
      </c>
      <c r="J427" s="16">
        <v>801</v>
      </c>
      <c r="Q427" s="7">
        <v>706</v>
      </c>
    </row>
    <row r="428" spans="1:17" ht="15.75" x14ac:dyDescent="0.25">
      <c r="A428" s="40">
        <v>44866</v>
      </c>
      <c r="C428" s="20">
        <v>672</v>
      </c>
      <c r="J428" s="16">
        <v>800</v>
      </c>
      <c r="Q428" s="7">
        <v>704</v>
      </c>
    </row>
    <row r="429" spans="1:17" ht="15.75" x14ac:dyDescent="0.25">
      <c r="A429" s="40">
        <v>44896</v>
      </c>
      <c r="C429" s="20">
        <v>670</v>
      </c>
      <c r="J429" s="16">
        <v>800</v>
      </c>
      <c r="Q429" s="34">
        <v>683</v>
      </c>
    </row>
    <row r="430" spans="1:17" ht="15.75" x14ac:dyDescent="0.25">
      <c r="A430" s="40">
        <v>44927</v>
      </c>
      <c r="C430" s="20">
        <v>668</v>
      </c>
      <c r="J430" s="16">
        <v>800</v>
      </c>
      <c r="Q430" s="7">
        <v>684</v>
      </c>
    </row>
    <row r="431" spans="1:17" ht="15.75" x14ac:dyDescent="0.25">
      <c r="A431" s="40">
        <v>44958</v>
      </c>
      <c r="C431" s="20">
        <v>782</v>
      </c>
      <c r="J431" s="16">
        <v>803</v>
      </c>
      <c r="Q431" s="7">
        <v>700</v>
      </c>
    </row>
    <row r="432" spans="1:17" ht="15.75" x14ac:dyDescent="0.25">
      <c r="A432" s="40">
        <v>44986</v>
      </c>
      <c r="C432" s="20">
        <v>790</v>
      </c>
      <c r="J432" s="16">
        <v>803</v>
      </c>
      <c r="Q432" s="7">
        <v>696</v>
      </c>
    </row>
    <row r="433" spans="1:18" ht="15.75" x14ac:dyDescent="0.25">
      <c r="A433" s="40">
        <v>45017</v>
      </c>
      <c r="C433" s="20">
        <v>796</v>
      </c>
      <c r="J433" s="16">
        <v>800</v>
      </c>
      <c r="Q433" s="7">
        <v>696</v>
      </c>
      <c r="R433" s="10">
        <f>28961000/30/1440</f>
        <v>670.39351851851848</v>
      </c>
    </row>
    <row r="434" spans="1:18" ht="15.75" x14ac:dyDescent="0.25">
      <c r="A434" s="40">
        <v>45047</v>
      </c>
      <c r="C434" s="20">
        <v>801</v>
      </c>
      <c r="J434" s="21">
        <v>799</v>
      </c>
      <c r="P434" s="35">
        <v>650</v>
      </c>
      <c r="R434" s="10">
        <v>651.59</v>
      </c>
    </row>
    <row r="435" spans="1:18" ht="15.75" x14ac:dyDescent="0.25">
      <c r="A435" s="40">
        <v>45078</v>
      </c>
      <c r="C435" s="20">
        <v>650</v>
      </c>
      <c r="J435" s="16">
        <v>821</v>
      </c>
      <c r="P435" s="7">
        <v>634</v>
      </c>
      <c r="R435" s="10">
        <f>28758000/31/1440</f>
        <v>644.22043010752691</v>
      </c>
    </row>
    <row r="436" spans="1:18" ht="15.75" x14ac:dyDescent="0.25">
      <c r="A436" s="40">
        <v>45108</v>
      </c>
      <c r="C436" s="20">
        <v>620</v>
      </c>
      <c r="J436" s="16">
        <v>784</v>
      </c>
      <c r="P436" s="7">
        <v>634</v>
      </c>
      <c r="R436" s="10">
        <f>22803000/31/1440</f>
        <v>510.81989247311827</v>
      </c>
    </row>
    <row r="437" spans="1:18" ht="15.75" x14ac:dyDescent="0.25">
      <c r="A437" s="40">
        <v>45139</v>
      </c>
      <c r="C437" s="20">
        <v>411</v>
      </c>
      <c r="J437" s="16">
        <v>809</v>
      </c>
      <c r="P437" s="10">
        <v>637.94000000000005</v>
      </c>
      <c r="R437" s="7">
        <v>682</v>
      </c>
    </row>
    <row r="438" spans="1:18" ht="15.75" x14ac:dyDescent="0.25">
      <c r="A438" s="40">
        <v>45170</v>
      </c>
      <c r="C438" s="20">
        <v>411</v>
      </c>
      <c r="J438" s="16">
        <v>806</v>
      </c>
      <c r="P438" s="10">
        <v>290.25</v>
      </c>
      <c r="R438" s="10">
        <f>30833000/30/1440</f>
        <v>713.72685185185185</v>
      </c>
    </row>
    <row r="439" spans="1:18" ht="15.75" x14ac:dyDescent="0.25">
      <c r="A439" s="40">
        <v>45200</v>
      </c>
      <c r="C439" s="20">
        <v>411</v>
      </c>
      <c r="J439" s="16">
        <v>811</v>
      </c>
      <c r="P439" s="10">
        <v>755.4</v>
      </c>
      <c r="R439" s="10">
        <f>36014000/31/1440</f>
        <v>806.76523297491042</v>
      </c>
    </row>
    <row r="440" spans="1:18" ht="15.75" x14ac:dyDescent="0.25">
      <c r="A440" s="40">
        <v>45231</v>
      </c>
      <c r="J440" s="16">
        <v>806</v>
      </c>
      <c r="P440" s="10">
        <v>647.21</v>
      </c>
      <c r="R440" s="10">
        <f>35578000/30/1440</f>
        <v>823.56481481481478</v>
      </c>
    </row>
    <row r="441" spans="1:18" ht="15.75" x14ac:dyDescent="0.25">
      <c r="A441" s="40">
        <v>45261</v>
      </c>
      <c r="J441" s="16"/>
      <c r="P441" s="7"/>
      <c r="R441" s="7"/>
    </row>
    <row r="442" spans="1:18" ht="15" customHeight="1" x14ac:dyDescent="0.25"/>
    <row r="443" spans="1:18" ht="15" customHeight="1" x14ac:dyDescent="0.25"/>
    <row r="444" spans="1:18" ht="15" customHeight="1" x14ac:dyDescent="0.25"/>
    <row r="445" spans="1:18" ht="15" customHeight="1" x14ac:dyDescent="0.25"/>
  </sheetData>
  <mergeCells count="4">
    <mergeCell ref="D1:F1"/>
    <mergeCell ref="G1:J1"/>
    <mergeCell ref="K1:R1"/>
    <mergeCell ref="L2:M2"/>
  </mergeCells>
  <conditionalFormatting sqref="B216:B227">
    <cfRule type="cellIs" dxfId="66" priority="16" operator="greaterThan">
      <formula>700</formula>
    </cfRule>
  </conditionalFormatting>
  <conditionalFormatting sqref="B348:B373">
    <cfRule type="cellIs" dxfId="65" priority="17" operator="greaterThan">
      <formula>700</formula>
    </cfRule>
  </conditionalFormatting>
  <conditionalFormatting sqref="B386:B410">
    <cfRule type="cellIs" dxfId="64" priority="15" operator="greaterThan">
      <formula>700</formula>
    </cfRule>
  </conditionalFormatting>
  <conditionalFormatting sqref="B4:R441">
    <cfRule type="cellIs" dxfId="63" priority="1" operator="greaterThan">
      <formula>1000</formula>
    </cfRule>
  </conditionalFormatting>
  <conditionalFormatting sqref="C112:C131">
    <cfRule type="cellIs" dxfId="62" priority="23" operator="greaterThan">
      <formula>700</formula>
    </cfRule>
  </conditionalFormatting>
  <conditionalFormatting sqref="C338:C439">
    <cfRule type="cellIs" dxfId="61" priority="20" operator="greaterThan">
      <formula>700</formula>
    </cfRule>
  </conditionalFormatting>
  <conditionalFormatting sqref="D361:D375">
    <cfRule type="cellIs" dxfId="60" priority="24" operator="greaterThan">
      <formula>700</formula>
    </cfRule>
  </conditionalFormatting>
  <conditionalFormatting sqref="E214:E224">
    <cfRule type="cellIs" dxfId="59" priority="25" operator="greaterThan">
      <formula>700</formula>
    </cfRule>
  </conditionalFormatting>
  <conditionalFormatting sqref="F74:F84">
    <cfRule type="cellIs" dxfId="58" priority="26" operator="greaterThan">
      <formula>700</formula>
    </cfRule>
  </conditionalFormatting>
  <conditionalFormatting sqref="G284:G302">
    <cfRule type="cellIs" dxfId="57" priority="27" operator="greaterThan">
      <formula>700</formula>
    </cfRule>
  </conditionalFormatting>
  <conditionalFormatting sqref="H260:H278">
    <cfRule type="cellIs" dxfId="56" priority="29" operator="greaterThan">
      <formula>700</formula>
    </cfRule>
  </conditionalFormatting>
  <conditionalFormatting sqref="H281:H302">
    <cfRule type="cellIs" dxfId="55" priority="28" operator="greaterThan">
      <formula>700</formula>
    </cfRule>
  </conditionalFormatting>
  <conditionalFormatting sqref="I90:I100">
    <cfRule type="cellIs" dxfId="54" priority="30" operator="greaterThan">
      <formula>700</formula>
    </cfRule>
  </conditionalFormatting>
  <conditionalFormatting sqref="J45:J96">
    <cfRule type="cellIs" dxfId="53" priority="35" operator="greaterThan">
      <formula>700</formula>
    </cfRule>
  </conditionalFormatting>
  <conditionalFormatting sqref="J107:J136">
    <cfRule type="cellIs" dxfId="52" priority="39" operator="greaterThan">
      <formula>700</formula>
    </cfRule>
  </conditionalFormatting>
  <conditionalFormatting sqref="J214:J241">
    <cfRule type="cellIs" dxfId="51" priority="34" operator="greaterThan">
      <formula>700</formula>
    </cfRule>
  </conditionalFormatting>
  <conditionalFormatting sqref="J246:J257">
    <cfRule type="cellIs" dxfId="50" priority="33" operator="greaterThan">
      <formula>700</formula>
    </cfRule>
  </conditionalFormatting>
  <conditionalFormatting sqref="J262:J279">
    <cfRule type="cellIs" dxfId="49" priority="32" operator="greaterThan">
      <formula>700</formula>
    </cfRule>
  </conditionalFormatting>
  <conditionalFormatting sqref="J329:J441">
    <cfRule type="cellIs" dxfId="48" priority="31" operator="greaterThan">
      <formula>700</formula>
    </cfRule>
  </conditionalFormatting>
  <conditionalFormatting sqref="K322:K331">
    <cfRule type="cellIs" dxfId="47" priority="14" operator="greaterThan">
      <formula>700</formula>
    </cfRule>
  </conditionalFormatting>
  <conditionalFormatting sqref="L164:L218">
    <cfRule type="cellIs" dxfId="46" priority="13" operator="greaterThan">
      <formula>700</formula>
    </cfRule>
  </conditionalFormatting>
  <conditionalFormatting sqref="L242:L266">
    <cfRule type="cellIs" dxfId="45" priority="12" operator="greaterThan">
      <formula>700</formula>
    </cfRule>
  </conditionalFormatting>
  <conditionalFormatting sqref="M6:M17">
    <cfRule type="cellIs" dxfId="44" priority="11" operator="greaterThan">
      <formula>700</formula>
    </cfRule>
  </conditionalFormatting>
  <conditionalFormatting sqref="N284:N302">
    <cfRule type="cellIs" dxfId="43" priority="10" operator="greaterThan">
      <formula>700</formula>
    </cfRule>
  </conditionalFormatting>
  <conditionalFormatting sqref="O73:O84">
    <cfRule type="cellIs" dxfId="42" priority="9" operator="greaterThan">
      <formula>700</formula>
    </cfRule>
  </conditionalFormatting>
  <conditionalFormatting sqref="P325:P335">
    <cfRule type="cellIs" dxfId="41" priority="8" operator="greaterThan">
      <formula>700</formula>
    </cfRule>
  </conditionalFormatting>
  <conditionalFormatting sqref="P434:P441">
    <cfRule type="cellIs" dxfId="40" priority="7" operator="greaterThan">
      <formula>700</formula>
    </cfRule>
  </conditionalFormatting>
  <conditionalFormatting sqref="Q331:Q356">
    <cfRule type="cellIs" dxfId="39" priority="6" operator="greaterThan">
      <formula>700</formula>
    </cfRule>
  </conditionalFormatting>
  <conditionalFormatting sqref="Q370:Q378">
    <cfRule type="cellIs" dxfId="38" priority="5" operator="greaterThan">
      <formula>700</formula>
    </cfRule>
  </conditionalFormatting>
  <conditionalFormatting sqref="Q422:Q433">
    <cfRule type="cellIs" dxfId="37" priority="4" operator="greaterThan">
      <formula>700</formula>
    </cfRule>
  </conditionalFormatting>
  <conditionalFormatting sqref="R357:R389">
    <cfRule type="cellIs" dxfId="36" priority="3" operator="greaterThan">
      <formula>700</formula>
    </cfRule>
  </conditionalFormatting>
  <conditionalFormatting sqref="R433:R441">
    <cfRule type="cellIs" dxfId="35" priority="2" operator="greaterThan">
      <formula>700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D97A7-F5F9-4F4A-B083-7735E8BC68A8}">
  <dimension ref="A1:N445"/>
  <sheetViews>
    <sheetView workbookViewId="0">
      <selection activeCell="J12" sqref="J12"/>
    </sheetView>
  </sheetViews>
  <sheetFormatPr defaultRowHeight="15" x14ac:dyDescent="0.25"/>
  <cols>
    <col min="1" max="1" width="12.7109375" bestFit="1" customWidth="1"/>
    <col min="2" max="2" width="11.7109375" style="5" bestFit="1" customWidth="1"/>
    <col min="3" max="3" width="15.140625" bestFit="1" customWidth="1"/>
    <col min="4" max="5" width="11.7109375" bestFit="1" customWidth="1"/>
    <col min="6" max="6" width="15" bestFit="1" customWidth="1"/>
    <col min="7" max="7" width="15.140625" bestFit="1" customWidth="1"/>
    <col min="8" max="8" width="11.7109375" bestFit="1" customWidth="1"/>
    <col min="9" max="9" width="12.42578125" customWidth="1"/>
    <col min="10" max="14" width="11.7109375" bestFit="1" customWidth="1"/>
  </cols>
  <sheetData>
    <row r="1" spans="1:14" ht="15.75" x14ac:dyDescent="0.25">
      <c r="A1" s="36"/>
      <c r="B1" s="45" t="s">
        <v>0</v>
      </c>
      <c r="C1" s="46" t="s">
        <v>1</v>
      </c>
      <c r="D1" s="115" t="s">
        <v>2</v>
      </c>
      <c r="E1" s="115"/>
      <c r="F1" s="115"/>
      <c r="G1" s="118" t="s">
        <v>3</v>
      </c>
      <c r="H1" s="119"/>
      <c r="I1" s="120" t="s">
        <v>4</v>
      </c>
      <c r="J1" s="121"/>
      <c r="K1" s="121"/>
      <c r="L1" s="121"/>
      <c r="M1" s="121"/>
      <c r="N1" s="122"/>
    </row>
    <row r="2" spans="1:14" ht="15.75" x14ac:dyDescent="0.25">
      <c r="A2" s="37" t="s">
        <v>5</v>
      </c>
      <c r="B2" s="22" t="s">
        <v>6</v>
      </c>
      <c r="C2" s="23" t="s">
        <v>7</v>
      </c>
      <c r="D2" s="1" t="s">
        <v>8</v>
      </c>
      <c r="E2" s="1" t="s">
        <v>9</v>
      </c>
      <c r="F2" s="1" t="s">
        <v>10</v>
      </c>
      <c r="G2" s="2" t="s">
        <v>13</v>
      </c>
      <c r="H2" s="2" t="s">
        <v>14</v>
      </c>
      <c r="I2" s="24" t="s">
        <v>15</v>
      </c>
      <c r="J2" s="24" t="s">
        <v>16</v>
      </c>
      <c r="K2" s="24" t="s">
        <v>18</v>
      </c>
      <c r="L2" s="24" t="s">
        <v>19</v>
      </c>
      <c r="M2" s="24" t="s">
        <v>20</v>
      </c>
      <c r="N2" s="24" t="s">
        <v>21</v>
      </c>
    </row>
    <row r="3" spans="1:14" ht="31.5" x14ac:dyDescent="0.25">
      <c r="A3" s="36"/>
      <c r="B3" s="25" t="s">
        <v>23</v>
      </c>
      <c r="C3" s="27" t="s">
        <v>23</v>
      </c>
      <c r="D3" s="4" t="s">
        <v>23</v>
      </c>
      <c r="E3" s="4" t="s">
        <v>23</v>
      </c>
      <c r="F3" s="4" t="s">
        <v>23</v>
      </c>
      <c r="G3" s="29" t="s">
        <v>23</v>
      </c>
      <c r="H3" s="29" t="s">
        <v>23</v>
      </c>
      <c r="I3" s="31" t="s">
        <v>23</v>
      </c>
      <c r="J3" s="31" t="s">
        <v>23</v>
      </c>
      <c r="K3" s="31" t="s">
        <v>23</v>
      </c>
      <c r="L3" s="31" t="s">
        <v>23</v>
      </c>
      <c r="M3" s="31" t="s">
        <v>23</v>
      </c>
      <c r="N3" s="31" t="s">
        <v>23</v>
      </c>
    </row>
    <row r="4" spans="1:14" ht="15.75" x14ac:dyDescent="0.25">
      <c r="A4" s="39">
        <v>31959</v>
      </c>
    </row>
    <row r="5" spans="1:14" ht="15.75" x14ac:dyDescent="0.25">
      <c r="A5" s="39">
        <v>31990</v>
      </c>
    </row>
    <row r="6" spans="1:14" ht="15.75" x14ac:dyDescent="0.25">
      <c r="A6" s="39">
        <v>32021</v>
      </c>
      <c r="J6" s="49">
        <v>152.77777777777777</v>
      </c>
    </row>
    <row r="7" spans="1:14" ht="15.75" x14ac:dyDescent="0.25">
      <c r="A7" s="39">
        <v>32051</v>
      </c>
      <c r="J7" s="49">
        <v>170.25089605734766</v>
      </c>
    </row>
    <row r="8" spans="1:14" ht="15.75" x14ac:dyDescent="0.25">
      <c r="A8" s="39">
        <v>32082</v>
      </c>
      <c r="J8" s="49">
        <v>141.20370370370372</v>
      </c>
    </row>
    <row r="9" spans="1:14" ht="15.75" x14ac:dyDescent="0.25">
      <c r="A9" s="39">
        <v>32112</v>
      </c>
      <c r="J9" s="49">
        <v>138.88888888888889</v>
      </c>
    </row>
    <row r="10" spans="1:14" ht="15.75" x14ac:dyDescent="0.25">
      <c r="A10" s="39">
        <v>32143</v>
      </c>
      <c r="J10" s="49"/>
    </row>
    <row r="11" spans="1:14" ht="15.75" x14ac:dyDescent="0.25">
      <c r="A11" s="39">
        <v>32174</v>
      </c>
      <c r="J11" s="49">
        <v>134.09961685823754</v>
      </c>
    </row>
    <row r="12" spans="1:14" ht="15.75" x14ac:dyDescent="0.25">
      <c r="A12" s="39">
        <v>32203</v>
      </c>
      <c r="J12" s="50">
        <v>734.7670250896058</v>
      </c>
    </row>
    <row r="13" spans="1:14" ht="15.75" x14ac:dyDescent="0.25">
      <c r="A13" s="39">
        <v>32234</v>
      </c>
      <c r="J13" s="49">
        <v>175.92592592592595</v>
      </c>
    </row>
    <row r="14" spans="1:14" ht="15.75" x14ac:dyDescent="0.25">
      <c r="A14" s="39">
        <v>32264</v>
      </c>
      <c r="J14" s="49">
        <v>170.25089605734766</v>
      </c>
    </row>
    <row r="15" spans="1:14" ht="15.75" x14ac:dyDescent="0.25">
      <c r="A15" s="39">
        <v>32295</v>
      </c>
      <c r="J15" s="49">
        <v>175.92592592592595</v>
      </c>
    </row>
    <row r="16" spans="1:14" ht="15.75" x14ac:dyDescent="0.25">
      <c r="A16" s="39">
        <v>32325</v>
      </c>
      <c r="J16" s="49">
        <v>170.25089605734766</v>
      </c>
    </row>
    <row r="17" spans="1:10" ht="15.75" x14ac:dyDescent="0.25">
      <c r="A17" s="39">
        <v>32356</v>
      </c>
      <c r="J17" s="49">
        <v>163.53046594982078</v>
      </c>
    </row>
    <row r="18" spans="1:10" ht="15.75" x14ac:dyDescent="0.25">
      <c r="A18" s="39">
        <v>32387</v>
      </c>
    </row>
    <row r="19" spans="1:10" ht="15.75" x14ac:dyDescent="0.25">
      <c r="A19" s="39">
        <v>32417</v>
      </c>
    </row>
    <row r="20" spans="1:10" ht="15.75" x14ac:dyDescent="0.25">
      <c r="A20" s="39">
        <v>32448</v>
      </c>
    </row>
    <row r="21" spans="1:10" ht="15.75" x14ac:dyDescent="0.25">
      <c r="A21" s="39">
        <v>32478</v>
      </c>
    </row>
    <row r="22" spans="1:10" ht="15.75" x14ac:dyDescent="0.25">
      <c r="A22" s="39">
        <v>32509</v>
      </c>
    </row>
    <row r="23" spans="1:10" ht="15.75" x14ac:dyDescent="0.25">
      <c r="A23" s="39">
        <v>32540</v>
      </c>
    </row>
    <row r="24" spans="1:10" ht="15.75" x14ac:dyDescent="0.25">
      <c r="A24" s="39">
        <v>32568</v>
      </c>
    </row>
    <row r="25" spans="1:10" ht="15.75" x14ac:dyDescent="0.25">
      <c r="A25" s="39">
        <v>32599</v>
      </c>
    </row>
    <row r="26" spans="1:10" ht="15.75" x14ac:dyDescent="0.25">
      <c r="A26" s="39">
        <v>32629</v>
      </c>
    </row>
    <row r="27" spans="1:10" ht="15.75" x14ac:dyDescent="0.25">
      <c r="A27" s="39">
        <v>32660</v>
      </c>
    </row>
    <row r="28" spans="1:10" ht="15.75" x14ac:dyDescent="0.25">
      <c r="A28" s="39">
        <v>32690</v>
      </c>
    </row>
    <row r="29" spans="1:10" ht="15.75" x14ac:dyDescent="0.25">
      <c r="A29" s="39">
        <v>32721</v>
      </c>
    </row>
    <row r="30" spans="1:10" ht="15.75" x14ac:dyDescent="0.25">
      <c r="A30" s="39">
        <v>32752</v>
      </c>
    </row>
    <row r="31" spans="1:10" ht="15.75" x14ac:dyDescent="0.25">
      <c r="A31" s="39">
        <v>32782</v>
      </c>
    </row>
    <row r="32" spans="1:10" ht="15.75" x14ac:dyDescent="0.25">
      <c r="A32" s="39">
        <v>32813</v>
      </c>
    </row>
    <row r="33" spans="1:8" ht="15.75" x14ac:dyDescent="0.25">
      <c r="A33" s="39">
        <v>32843</v>
      </c>
    </row>
    <row r="34" spans="1:8" ht="15.75" x14ac:dyDescent="0.25">
      <c r="A34" s="39">
        <v>32874</v>
      </c>
    </row>
    <row r="35" spans="1:8" ht="15.75" x14ac:dyDescent="0.25">
      <c r="A35" s="39">
        <v>32905</v>
      </c>
    </row>
    <row r="36" spans="1:8" ht="15.75" x14ac:dyDescent="0.25">
      <c r="A36" s="39">
        <v>32933</v>
      </c>
    </row>
    <row r="37" spans="1:8" ht="15.75" x14ac:dyDescent="0.25">
      <c r="A37" s="39">
        <v>32964</v>
      </c>
    </row>
    <row r="38" spans="1:8" ht="15.75" x14ac:dyDescent="0.25">
      <c r="A38" s="39">
        <v>32994</v>
      </c>
    </row>
    <row r="39" spans="1:8" ht="15.75" x14ac:dyDescent="0.25">
      <c r="A39" s="39">
        <v>33025</v>
      </c>
    </row>
    <row r="40" spans="1:8" ht="15.75" x14ac:dyDescent="0.25">
      <c r="A40" s="39">
        <v>33055</v>
      </c>
    </row>
    <row r="41" spans="1:8" ht="15.75" x14ac:dyDescent="0.25">
      <c r="A41" s="39">
        <v>33086</v>
      </c>
    </row>
    <row r="42" spans="1:8" ht="15.75" x14ac:dyDescent="0.25">
      <c r="A42" s="39">
        <v>33117</v>
      </c>
    </row>
    <row r="43" spans="1:8" ht="15.75" x14ac:dyDescent="0.25">
      <c r="A43" s="39">
        <v>33147</v>
      </c>
    </row>
    <row r="44" spans="1:8" ht="15.75" x14ac:dyDescent="0.25">
      <c r="A44" s="39">
        <v>33178</v>
      </c>
    </row>
    <row r="45" spans="1:8" ht="15.75" x14ac:dyDescent="0.25">
      <c r="A45" s="39">
        <v>33208</v>
      </c>
      <c r="H45" s="6">
        <v>658.60215053763443</v>
      </c>
    </row>
    <row r="46" spans="1:8" ht="15.75" x14ac:dyDescent="0.25">
      <c r="A46" s="39">
        <v>33239</v>
      </c>
      <c r="H46" s="6">
        <v>665.32258064516122</v>
      </c>
    </row>
    <row r="47" spans="1:8" ht="15.75" x14ac:dyDescent="0.25">
      <c r="A47" s="39">
        <v>33270</v>
      </c>
      <c r="H47" s="6">
        <v>689.48412698412699</v>
      </c>
    </row>
    <row r="48" spans="1:8" ht="15.75" x14ac:dyDescent="0.25">
      <c r="A48" s="39">
        <v>33298</v>
      </c>
      <c r="H48" s="6">
        <v>645.16129032258073</v>
      </c>
    </row>
    <row r="49" spans="1:8" ht="15.75" x14ac:dyDescent="0.25">
      <c r="A49" s="39">
        <v>33329</v>
      </c>
      <c r="H49" s="6">
        <v>678.24074074074076</v>
      </c>
    </row>
    <row r="50" spans="1:8" ht="15.75" x14ac:dyDescent="0.25">
      <c r="A50" s="39">
        <v>33359</v>
      </c>
      <c r="H50" s="6">
        <v>754.92831541218629</v>
      </c>
    </row>
    <row r="51" spans="1:8" ht="15.75" x14ac:dyDescent="0.25">
      <c r="A51" s="39">
        <v>33390</v>
      </c>
      <c r="H51" s="6">
        <v>664.35185185185185</v>
      </c>
    </row>
    <row r="52" spans="1:8" ht="15.75" x14ac:dyDescent="0.25">
      <c r="A52" s="39">
        <v>33420</v>
      </c>
      <c r="H52" s="6">
        <v>716.84587813620078</v>
      </c>
    </row>
    <row r="53" spans="1:8" ht="15.75" x14ac:dyDescent="0.25">
      <c r="A53" s="39">
        <v>33451</v>
      </c>
      <c r="H53" s="6">
        <v>707.88530465949816</v>
      </c>
    </row>
    <row r="54" spans="1:8" ht="15.75" x14ac:dyDescent="0.25">
      <c r="A54" s="39">
        <v>33482</v>
      </c>
      <c r="H54" s="6">
        <v>592.59259259259261</v>
      </c>
    </row>
    <row r="55" spans="1:8" ht="15.75" x14ac:dyDescent="0.25">
      <c r="A55" s="39">
        <v>33512</v>
      </c>
      <c r="H55" s="6">
        <v>795.25089605734763</v>
      </c>
    </row>
    <row r="56" spans="1:8" ht="15.75" x14ac:dyDescent="0.25">
      <c r="A56" s="39">
        <v>33543</v>
      </c>
      <c r="H56" s="6">
        <v>627.31481481481489</v>
      </c>
    </row>
    <row r="57" spans="1:8" ht="15.75" x14ac:dyDescent="0.25">
      <c r="A57" s="39">
        <v>33573</v>
      </c>
      <c r="H57" s="6">
        <v>627.2401433691756</v>
      </c>
    </row>
    <row r="58" spans="1:8" ht="15.75" x14ac:dyDescent="0.25">
      <c r="A58" s="39">
        <v>33604</v>
      </c>
      <c r="H58" s="6">
        <v>674.95519713261649</v>
      </c>
    </row>
    <row r="59" spans="1:8" ht="15.75" x14ac:dyDescent="0.25">
      <c r="A59" s="39">
        <v>33635</v>
      </c>
      <c r="H59" s="6">
        <v>649.9042145593869</v>
      </c>
    </row>
    <row r="60" spans="1:8" ht="15.75" x14ac:dyDescent="0.25">
      <c r="A60" s="39">
        <v>33664</v>
      </c>
      <c r="H60" s="6">
        <v>644.93727598566306</v>
      </c>
    </row>
    <row r="61" spans="1:8" ht="15.75" x14ac:dyDescent="0.25">
      <c r="A61" s="39">
        <v>33695</v>
      </c>
      <c r="H61" s="6">
        <v>645.83333333333337</v>
      </c>
    </row>
    <row r="62" spans="1:8" ht="15.75" x14ac:dyDescent="0.25">
      <c r="A62" s="39">
        <v>33725</v>
      </c>
      <c r="H62" s="6">
        <v>605.95878136200713</v>
      </c>
    </row>
    <row r="63" spans="1:8" ht="15.75" x14ac:dyDescent="0.25">
      <c r="A63" s="39">
        <v>33756</v>
      </c>
      <c r="H63" s="6">
        <v>658.10185185185185</v>
      </c>
    </row>
    <row r="64" spans="1:8" ht="15.75" x14ac:dyDescent="0.25">
      <c r="A64" s="39">
        <v>33786</v>
      </c>
      <c r="H64" s="6">
        <v>623.87992831541226</v>
      </c>
    </row>
    <row r="65" spans="1:11" ht="15.75" x14ac:dyDescent="0.25">
      <c r="A65" s="39">
        <v>33817</v>
      </c>
      <c r="H65" s="6">
        <v>601.47849462365593</v>
      </c>
    </row>
    <row r="66" spans="1:11" ht="15.75" x14ac:dyDescent="0.25">
      <c r="A66" s="39">
        <v>33848</v>
      </c>
      <c r="H66" s="6">
        <v>601.38888888888891</v>
      </c>
    </row>
    <row r="67" spans="1:11" ht="15.75" x14ac:dyDescent="0.25">
      <c r="A67" s="39">
        <v>33878</v>
      </c>
      <c r="H67" s="6">
        <v>699.82078853046585</v>
      </c>
    </row>
    <row r="68" spans="1:11" ht="15.75" x14ac:dyDescent="0.25">
      <c r="A68" s="39">
        <v>33909</v>
      </c>
      <c r="H68" s="6">
        <v>700</v>
      </c>
    </row>
    <row r="69" spans="1:11" ht="15.75" x14ac:dyDescent="0.25">
      <c r="A69" s="39">
        <v>33939</v>
      </c>
      <c r="H69" s="6">
        <v>699.14874551971332</v>
      </c>
    </row>
    <row r="70" spans="1:11" ht="15.75" x14ac:dyDescent="0.25">
      <c r="A70" s="39">
        <v>33970</v>
      </c>
      <c r="H70" s="6">
        <v>720.00448028673839</v>
      </c>
    </row>
    <row r="71" spans="1:11" ht="15.75" x14ac:dyDescent="0.25">
      <c r="A71" s="39">
        <v>34001</v>
      </c>
      <c r="H71" s="6">
        <v>786.06150793650784</v>
      </c>
    </row>
    <row r="72" spans="1:11" ht="15.75" x14ac:dyDescent="0.25">
      <c r="A72" s="39">
        <v>34029</v>
      </c>
      <c r="H72" s="6">
        <v>696.77419354838707</v>
      </c>
    </row>
    <row r="73" spans="1:11" ht="15.75" x14ac:dyDescent="0.25">
      <c r="A73" s="39">
        <v>34060</v>
      </c>
      <c r="H73" s="6">
        <v>659.07407407407413</v>
      </c>
      <c r="K73" s="33">
        <v>215.04629629629633</v>
      </c>
    </row>
    <row r="74" spans="1:11" ht="15.75" x14ac:dyDescent="0.25">
      <c r="A74" s="39">
        <v>34090</v>
      </c>
      <c r="F74" s="7">
        <v>391.53225806451616</v>
      </c>
      <c r="H74" s="6">
        <v>544.22043010752679</v>
      </c>
      <c r="K74" s="33">
        <v>114.89695340501792</v>
      </c>
    </row>
    <row r="75" spans="1:11" ht="15.75" x14ac:dyDescent="0.25">
      <c r="A75" s="39">
        <v>34121</v>
      </c>
      <c r="F75" s="7">
        <v>590.57870370370381</v>
      </c>
      <c r="H75" s="6">
        <v>1013.125</v>
      </c>
      <c r="K75" s="33">
        <v>260.69444444444446</v>
      </c>
    </row>
    <row r="76" spans="1:11" ht="15.75" x14ac:dyDescent="0.25">
      <c r="A76" s="39">
        <v>34151</v>
      </c>
      <c r="F76" s="7">
        <v>463.93369175627237</v>
      </c>
      <c r="H76" s="6">
        <v>722.24462365591398</v>
      </c>
      <c r="K76" s="33">
        <v>195.56451612903223</v>
      </c>
    </row>
    <row r="77" spans="1:11" ht="15.75" x14ac:dyDescent="0.25">
      <c r="A77" s="39">
        <v>34182</v>
      </c>
      <c r="F77" s="7">
        <v>511.51433691756273</v>
      </c>
      <c r="H77" s="6">
        <v>918.95161290322574</v>
      </c>
      <c r="K77" s="33">
        <v>232.25806451612905</v>
      </c>
    </row>
    <row r="78" spans="1:11" ht="15.75" x14ac:dyDescent="0.25">
      <c r="A78" s="39">
        <v>34213</v>
      </c>
      <c r="F78" s="7"/>
      <c r="H78" s="6"/>
      <c r="K78" s="33"/>
    </row>
    <row r="79" spans="1:11" ht="15.75" x14ac:dyDescent="0.25">
      <c r="A79" s="39">
        <v>34243</v>
      </c>
      <c r="F79" s="7">
        <v>711.71594982078864</v>
      </c>
      <c r="H79" s="6">
        <v>1098.4767025089607</v>
      </c>
      <c r="K79" s="50">
        <v>923.20788530465938</v>
      </c>
    </row>
    <row r="80" spans="1:11" ht="15.75" x14ac:dyDescent="0.25">
      <c r="A80" s="39">
        <v>34274</v>
      </c>
      <c r="F80" s="7">
        <v>550.02314814814815</v>
      </c>
      <c r="H80" s="6">
        <v>767.70833333333337</v>
      </c>
      <c r="K80" s="33">
        <v>230.67129629629633</v>
      </c>
    </row>
    <row r="81" spans="1:11" ht="15.75" x14ac:dyDescent="0.25">
      <c r="A81" s="39">
        <v>34304</v>
      </c>
      <c r="F81" s="7">
        <v>460.08064516129036</v>
      </c>
      <c r="H81" s="6">
        <v>747.8046594982078</v>
      </c>
      <c r="K81" s="33">
        <v>178.00179211469535</v>
      </c>
    </row>
    <row r="82" spans="1:11" ht="15.75" x14ac:dyDescent="0.25">
      <c r="A82" s="39">
        <v>34335</v>
      </c>
      <c r="F82" s="7">
        <v>436.8279569892473</v>
      </c>
      <c r="H82" s="6">
        <v>754.92831541218629</v>
      </c>
      <c r="K82" s="33">
        <v>183.69175627240145</v>
      </c>
    </row>
    <row r="83" spans="1:11" ht="15.75" x14ac:dyDescent="0.25">
      <c r="A83" s="39">
        <v>34366</v>
      </c>
      <c r="F83" s="7">
        <v>451.38888888888886</v>
      </c>
      <c r="H83" s="6">
        <v>736.60714285714289</v>
      </c>
      <c r="K83" s="33">
        <v>186.01190476190473</v>
      </c>
    </row>
    <row r="84" spans="1:11" ht="15.75" x14ac:dyDescent="0.25">
      <c r="A84" s="39">
        <v>34394</v>
      </c>
      <c r="F84" s="7">
        <v>412.18637992831543</v>
      </c>
      <c r="H84" s="6">
        <v>728.04659498207889</v>
      </c>
      <c r="K84" s="33">
        <v>188.17204301075267</v>
      </c>
    </row>
    <row r="85" spans="1:11" ht="15.75" x14ac:dyDescent="0.25">
      <c r="A85" s="39">
        <v>34425</v>
      </c>
      <c r="H85" s="6">
        <v>694.44444444444446</v>
      </c>
    </row>
    <row r="86" spans="1:11" ht="15.75" x14ac:dyDescent="0.25">
      <c r="A86" s="39">
        <v>34455</v>
      </c>
      <c r="H86" s="6">
        <v>640.68100358422942</v>
      </c>
    </row>
    <row r="87" spans="1:11" ht="15.75" x14ac:dyDescent="0.25">
      <c r="A87" s="39">
        <v>34486</v>
      </c>
      <c r="H87" s="6">
        <v>666.66666666666663</v>
      </c>
    </row>
    <row r="88" spans="1:11" ht="15.75" x14ac:dyDescent="0.25">
      <c r="A88" s="39">
        <v>34516</v>
      </c>
      <c r="H88" s="6">
        <v>651.88172043010741</v>
      </c>
    </row>
    <row r="89" spans="1:11" ht="15.75" x14ac:dyDescent="0.25">
      <c r="A89" s="39">
        <v>34547</v>
      </c>
      <c r="H89" s="6">
        <v>651.88172043010741</v>
      </c>
    </row>
    <row r="90" spans="1:11" ht="15.75" x14ac:dyDescent="0.25">
      <c r="A90" s="39">
        <v>34578</v>
      </c>
      <c r="G90" s="8">
        <v>85.648148148148138</v>
      </c>
      <c r="H90" s="6">
        <v>708.33333333333337</v>
      </c>
    </row>
    <row r="91" spans="1:11" ht="15.75" x14ac:dyDescent="0.25">
      <c r="A91" s="39">
        <v>34608</v>
      </c>
      <c r="G91" s="8">
        <v>103.04659498207886</v>
      </c>
      <c r="H91" s="6">
        <v>770.60931899641582</v>
      </c>
    </row>
    <row r="92" spans="1:11" ht="15.75" x14ac:dyDescent="0.25">
      <c r="A92" s="39">
        <v>34639</v>
      </c>
      <c r="G92" s="8">
        <v>180.55555555555557</v>
      </c>
      <c r="H92" s="6">
        <v>664.35185185185185</v>
      </c>
    </row>
    <row r="93" spans="1:11" ht="15.75" x14ac:dyDescent="0.25">
      <c r="A93" s="39">
        <v>34669</v>
      </c>
      <c r="G93" s="8">
        <v>246.41577060931897</v>
      </c>
      <c r="H93" s="6">
        <v>660.84229390681003</v>
      </c>
    </row>
    <row r="94" spans="1:11" ht="15.75" x14ac:dyDescent="0.25">
      <c r="A94" s="39">
        <v>34700</v>
      </c>
      <c r="G94" s="8">
        <v>251.23207885304657</v>
      </c>
      <c r="H94" s="6">
        <v>683.0645161290322</v>
      </c>
    </row>
    <row r="95" spans="1:11" ht="15.75" x14ac:dyDescent="0.25">
      <c r="A95" s="39">
        <v>34731</v>
      </c>
      <c r="G95" s="50">
        <v>754.9355158730159</v>
      </c>
      <c r="H95" s="6">
        <v>686.92956349206349</v>
      </c>
    </row>
    <row r="96" spans="1:11" ht="15.75" x14ac:dyDescent="0.25">
      <c r="A96" s="39">
        <v>34759</v>
      </c>
      <c r="G96" s="8">
        <v>250</v>
      </c>
      <c r="H96" s="6">
        <v>673.07347670250897</v>
      </c>
    </row>
    <row r="97" spans="1:8" ht="15.75" x14ac:dyDescent="0.25">
      <c r="A97" s="39">
        <v>34790</v>
      </c>
      <c r="G97" s="8">
        <v>264.56018518518516</v>
      </c>
    </row>
    <row r="98" spans="1:8" ht="15.75" x14ac:dyDescent="0.25">
      <c r="A98" s="39">
        <v>34820</v>
      </c>
      <c r="G98" s="8">
        <v>207.39247311827958</v>
      </c>
    </row>
    <row r="99" spans="1:8" ht="15.75" x14ac:dyDescent="0.25">
      <c r="A99" s="39">
        <v>34851</v>
      </c>
      <c r="G99" s="8">
        <v>246.99074074074076</v>
      </c>
    </row>
    <row r="100" spans="1:8" ht="15.75" x14ac:dyDescent="0.25">
      <c r="A100" s="39">
        <v>34881</v>
      </c>
      <c r="G100" s="8">
        <v>257.99731182795699</v>
      </c>
    </row>
    <row r="101" spans="1:8" ht="15.75" x14ac:dyDescent="0.25">
      <c r="A101" s="39">
        <v>34912</v>
      </c>
    </row>
    <row r="102" spans="1:8" ht="15.75" x14ac:dyDescent="0.25">
      <c r="A102" s="39">
        <v>34943</v>
      </c>
    </row>
    <row r="103" spans="1:8" ht="15.75" x14ac:dyDescent="0.25">
      <c r="A103" s="39">
        <v>34973</v>
      </c>
    </row>
    <row r="104" spans="1:8" ht="15.75" x14ac:dyDescent="0.25">
      <c r="A104" s="39">
        <v>35004</v>
      </c>
    </row>
    <row r="105" spans="1:8" ht="15.75" x14ac:dyDescent="0.25">
      <c r="A105" s="39">
        <v>35034</v>
      </c>
    </row>
    <row r="106" spans="1:8" ht="15.75" x14ac:dyDescent="0.25">
      <c r="A106" s="39">
        <v>35065</v>
      </c>
    </row>
    <row r="107" spans="1:8" ht="15.75" x14ac:dyDescent="0.25">
      <c r="A107" s="39">
        <v>35096</v>
      </c>
      <c r="H107" s="6">
        <v>790.58908045977</v>
      </c>
    </row>
    <row r="108" spans="1:8" ht="15.75" x14ac:dyDescent="0.25">
      <c r="A108" s="39">
        <v>35125</v>
      </c>
      <c r="H108" s="6">
        <v>865.61379928315398</v>
      </c>
    </row>
    <row r="109" spans="1:8" ht="15.75" x14ac:dyDescent="0.25">
      <c r="A109" s="39">
        <v>35156</v>
      </c>
      <c r="H109" s="6">
        <v>631.29629629629619</v>
      </c>
    </row>
    <row r="110" spans="1:8" ht="15.75" x14ac:dyDescent="0.25">
      <c r="A110" s="39">
        <v>35186</v>
      </c>
      <c r="H110" s="6">
        <v>713.06003584229393</v>
      </c>
    </row>
    <row r="111" spans="1:8" ht="15.75" x14ac:dyDescent="0.25">
      <c r="A111" s="39">
        <v>35217</v>
      </c>
      <c r="H111" s="6">
        <v>556.18055555555554</v>
      </c>
    </row>
    <row r="112" spans="1:8" ht="15.75" x14ac:dyDescent="0.25">
      <c r="A112" s="39">
        <v>35247</v>
      </c>
      <c r="C112" s="7">
        <v>585.61827956989259</v>
      </c>
      <c r="H112" s="6">
        <v>722.89426523297493</v>
      </c>
    </row>
    <row r="113" spans="1:8" ht="15.75" x14ac:dyDescent="0.25">
      <c r="A113" s="39">
        <v>35278</v>
      </c>
      <c r="C113" s="7">
        <v>654.0098566308244</v>
      </c>
      <c r="H113" s="6">
        <v>722.17741935483878</v>
      </c>
    </row>
    <row r="114" spans="1:8" ht="15.75" x14ac:dyDescent="0.25">
      <c r="A114" s="39">
        <v>35309</v>
      </c>
      <c r="C114" s="7">
        <v>458.01971326164875</v>
      </c>
      <c r="H114" s="6">
        <v>683.77314814814815</v>
      </c>
    </row>
    <row r="115" spans="1:8" ht="15.75" x14ac:dyDescent="0.25">
      <c r="A115" s="39">
        <v>35339</v>
      </c>
      <c r="C115" s="7">
        <v>483.15412186379928</v>
      </c>
      <c r="H115" s="6">
        <v>683.53494623655922</v>
      </c>
    </row>
    <row r="116" spans="1:8" ht="15.75" x14ac:dyDescent="0.25">
      <c r="A116" s="39">
        <v>35370</v>
      </c>
      <c r="C116" s="7">
        <v>508.26612903225811</v>
      </c>
      <c r="H116" s="6">
        <v>732.82407407407413</v>
      </c>
    </row>
    <row r="117" spans="1:8" ht="15.75" x14ac:dyDescent="0.25">
      <c r="A117" s="39">
        <v>35400</v>
      </c>
      <c r="C117" s="7">
        <v>913.64247311827967</v>
      </c>
      <c r="H117" s="6">
        <v>1099.5519713261647</v>
      </c>
    </row>
    <row r="118" spans="1:8" ht="15.75" x14ac:dyDescent="0.25">
      <c r="A118" s="39">
        <v>35431</v>
      </c>
      <c r="C118" s="7">
        <v>614.60573476702507</v>
      </c>
      <c r="H118" s="6">
        <v>501.23207885304663</v>
      </c>
    </row>
    <row r="119" spans="1:8" ht="15.75" x14ac:dyDescent="0.25">
      <c r="A119" s="39">
        <v>35462</v>
      </c>
      <c r="C119" s="7">
        <v>644.1756272401434</v>
      </c>
      <c r="H119" s="6">
        <v>586.73115079365073</v>
      </c>
    </row>
    <row r="120" spans="1:8" ht="15.75" x14ac:dyDescent="0.25">
      <c r="A120" s="39">
        <v>35490</v>
      </c>
      <c r="C120" s="7">
        <v>215.99462365591398</v>
      </c>
      <c r="H120" s="6">
        <v>950.89605734767019</v>
      </c>
    </row>
    <row r="121" spans="1:8" ht="15.75" x14ac:dyDescent="0.25">
      <c r="A121" s="39">
        <v>35521</v>
      </c>
      <c r="C121" s="7">
        <v>644.78046594982084</v>
      </c>
      <c r="H121" s="6">
        <v>923.35648148148141</v>
      </c>
    </row>
    <row r="122" spans="1:8" ht="15.75" x14ac:dyDescent="0.25">
      <c r="A122" s="39">
        <v>35551</v>
      </c>
      <c r="C122" s="7">
        <v>543.34677419354841</v>
      </c>
      <c r="H122" s="6">
        <v>997.22222222222229</v>
      </c>
    </row>
    <row r="123" spans="1:8" ht="15.75" x14ac:dyDescent="0.25">
      <c r="A123" s="39">
        <v>35582</v>
      </c>
      <c r="C123" s="7">
        <v>549.95519713261649</v>
      </c>
      <c r="H123" s="6">
        <v>850.87962962962968</v>
      </c>
    </row>
    <row r="124" spans="1:8" ht="15.75" x14ac:dyDescent="0.25">
      <c r="A124" s="39">
        <v>35612</v>
      </c>
      <c r="C124" s="7">
        <v>492.83154121863794</v>
      </c>
      <c r="H124" s="6">
        <v>841.84587813620067</v>
      </c>
    </row>
    <row r="125" spans="1:8" ht="15.75" x14ac:dyDescent="0.25">
      <c r="A125" s="39">
        <v>35643</v>
      </c>
      <c r="C125" s="7">
        <v>792.56272401433682</v>
      </c>
      <c r="H125" s="6">
        <v>864.71774193548379</v>
      </c>
    </row>
    <row r="126" spans="1:8" ht="15.75" x14ac:dyDescent="0.25">
      <c r="A126" s="39">
        <v>35674</v>
      </c>
      <c r="C126" s="7">
        <v>719.51164874551966</v>
      </c>
      <c r="H126" s="6">
        <v>869.60648148148141</v>
      </c>
    </row>
    <row r="127" spans="1:8" ht="15.75" x14ac:dyDescent="0.25">
      <c r="A127" s="39">
        <v>35704</v>
      </c>
      <c r="C127" s="7">
        <v>590.00896057347677</v>
      </c>
      <c r="H127" s="6">
        <v>820.00448028673839</v>
      </c>
    </row>
    <row r="128" spans="1:8" ht="15.75" x14ac:dyDescent="0.25">
      <c r="A128" s="39">
        <v>35735</v>
      </c>
      <c r="C128" s="7">
        <v>657.30286738351253</v>
      </c>
      <c r="H128" s="6">
        <v>500</v>
      </c>
    </row>
    <row r="129" spans="1:8" ht="15.75" x14ac:dyDescent="0.25">
      <c r="A129" s="39">
        <v>35765</v>
      </c>
      <c r="C129" s="7">
        <v>665.41218637992824</v>
      </c>
      <c r="H129" s="6">
        <v>637.5</v>
      </c>
    </row>
    <row r="130" spans="1:8" ht="15.75" x14ac:dyDescent="0.25">
      <c r="A130" s="39">
        <v>35796</v>
      </c>
      <c r="C130" s="7">
        <v>379.2786738351254</v>
      </c>
      <c r="H130" s="6">
        <v>880</v>
      </c>
    </row>
    <row r="131" spans="1:8" ht="15.75" x14ac:dyDescent="0.25">
      <c r="A131" s="39">
        <v>35827</v>
      </c>
      <c r="C131" s="7">
        <v>563.97849462365593</v>
      </c>
      <c r="H131" s="6">
        <v>716.14583333333337</v>
      </c>
    </row>
    <row r="132" spans="1:8" ht="15.75" x14ac:dyDescent="0.25">
      <c r="A132" s="39">
        <v>35855</v>
      </c>
      <c r="H132" s="6">
        <v>632.88530465949816</v>
      </c>
    </row>
    <row r="133" spans="1:8" ht="15.75" x14ac:dyDescent="0.25">
      <c r="A133" s="39">
        <v>35886</v>
      </c>
      <c r="H133" s="6">
        <v>653.98148148148152</v>
      </c>
    </row>
    <row r="134" spans="1:8" ht="15.75" x14ac:dyDescent="0.25">
      <c r="A134" s="39">
        <v>35916</v>
      </c>
      <c r="H134" s="6">
        <v>680.15232974910396</v>
      </c>
    </row>
    <row r="135" spans="1:8" ht="15.75" x14ac:dyDescent="0.25">
      <c r="A135" s="39">
        <v>35947</v>
      </c>
      <c r="H135" s="6">
        <v>690.81712962962956</v>
      </c>
    </row>
    <row r="136" spans="1:8" ht="15.75" x14ac:dyDescent="0.25">
      <c r="A136" s="39">
        <v>35977</v>
      </c>
      <c r="H136" s="6">
        <v>780</v>
      </c>
    </row>
    <row r="137" spans="1:8" ht="15.75" x14ac:dyDescent="0.25">
      <c r="A137" s="39">
        <v>36008</v>
      </c>
    </row>
    <row r="138" spans="1:8" ht="15.75" x14ac:dyDescent="0.25">
      <c r="A138" s="39">
        <v>36039</v>
      </c>
    </row>
    <row r="139" spans="1:8" ht="15.75" x14ac:dyDescent="0.25">
      <c r="A139" s="39">
        <v>36069</v>
      </c>
    </row>
    <row r="140" spans="1:8" ht="15.75" x14ac:dyDescent="0.25">
      <c r="A140" s="39">
        <v>36100</v>
      </c>
    </row>
    <row r="141" spans="1:8" ht="15.75" x14ac:dyDescent="0.25">
      <c r="A141" s="39">
        <v>36130</v>
      </c>
    </row>
    <row r="142" spans="1:8" ht="15.75" x14ac:dyDescent="0.25">
      <c r="A142" s="39">
        <v>36161</v>
      </c>
    </row>
    <row r="143" spans="1:8" ht="15.75" x14ac:dyDescent="0.25">
      <c r="A143" s="39">
        <v>36192</v>
      </c>
    </row>
    <row r="144" spans="1:8" ht="15.75" x14ac:dyDescent="0.25">
      <c r="A144" s="39">
        <v>36220</v>
      </c>
    </row>
    <row r="145" spans="1:1" ht="15.75" x14ac:dyDescent="0.25">
      <c r="A145" s="39">
        <v>36251</v>
      </c>
    </row>
    <row r="146" spans="1:1" ht="15.75" x14ac:dyDescent="0.25">
      <c r="A146" s="39">
        <v>36281</v>
      </c>
    </row>
    <row r="147" spans="1:1" ht="15.75" x14ac:dyDescent="0.25">
      <c r="A147" s="39">
        <v>36312</v>
      </c>
    </row>
    <row r="148" spans="1:1" ht="15.75" x14ac:dyDescent="0.25">
      <c r="A148" s="39">
        <v>36342</v>
      </c>
    </row>
    <row r="149" spans="1:1" ht="15.75" x14ac:dyDescent="0.25">
      <c r="A149" s="39">
        <v>36373</v>
      </c>
    </row>
    <row r="150" spans="1:1" ht="15.75" x14ac:dyDescent="0.25">
      <c r="A150" s="39">
        <v>36404</v>
      </c>
    </row>
    <row r="151" spans="1:1" ht="15.75" x14ac:dyDescent="0.25">
      <c r="A151" s="39">
        <v>36434</v>
      </c>
    </row>
    <row r="152" spans="1:1" ht="15.75" x14ac:dyDescent="0.25">
      <c r="A152" s="39">
        <v>36465</v>
      </c>
    </row>
    <row r="153" spans="1:1" ht="15.75" x14ac:dyDescent="0.25">
      <c r="A153" s="39">
        <v>36495</v>
      </c>
    </row>
    <row r="154" spans="1:1" ht="15.75" x14ac:dyDescent="0.25">
      <c r="A154" s="39">
        <v>36526</v>
      </c>
    </row>
    <row r="155" spans="1:1" ht="15.75" x14ac:dyDescent="0.25">
      <c r="A155" s="39">
        <v>36557</v>
      </c>
    </row>
    <row r="156" spans="1:1" ht="15.75" x14ac:dyDescent="0.25">
      <c r="A156" s="39">
        <v>36586</v>
      </c>
    </row>
    <row r="157" spans="1:1" ht="15.75" x14ac:dyDescent="0.25">
      <c r="A157" s="39">
        <v>36617</v>
      </c>
    </row>
    <row r="158" spans="1:1" ht="15.75" x14ac:dyDescent="0.25">
      <c r="A158" s="39">
        <v>36647</v>
      </c>
    </row>
    <row r="159" spans="1:1" ht="15.75" x14ac:dyDescent="0.25">
      <c r="A159" s="39">
        <v>36678</v>
      </c>
    </row>
    <row r="160" spans="1:1" ht="15.75" x14ac:dyDescent="0.25">
      <c r="A160" s="39">
        <v>36708</v>
      </c>
    </row>
    <row r="161" spans="1:1" ht="15.75" x14ac:dyDescent="0.25">
      <c r="A161" s="39">
        <v>36739</v>
      </c>
    </row>
    <row r="162" spans="1:1" ht="15.75" x14ac:dyDescent="0.25">
      <c r="A162" s="39">
        <v>36770</v>
      </c>
    </row>
    <row r="163" spans="1:1" ht="15.75" x14ac:dyDescent="0.25">
      <c r="A163" s="39">
        <v>36800</v>
      </c>
    </row>
    <row r="164" spans="1:1" ht="15.75" x14ac:dyDescent="0.25">
      <c r="A164" s="39">
        <v>36831</v>
      </c>
    </row>
    <row r="165" spans="1:1" ht="15.75" x14ac:dyDescent="0.25">
      <c r="A165" s="39">
        <v>36861</v>
      </c>
    </row>
    <row r="166" spans="1:1" ht="15.75" x14ac:dyDescent="0.25">
      <c r="A166" s="39">
        <v>36892</v>
      </c>
    </row>
    <row r="167" spans="1:1" ht="15.75" x14ac:dyDescent="0.25">
      <c r="A167" s="39">
        <v>36923</v>
      </c>
    </row>
    <row r="168" spans="1:1" ht="15.75" x14ac:dyDescent="0.25">
      <c r="A168" s="39">
        <v>36951</v>
      </c>
    </row>
    <row r="169" spans="1:1" ht="15.75" x14ac:dyDescent="0.25">
      <c r="A169" s="39">
        <v>36982</v>
      </c>
    </row>
    <row r="170" spans="1:1" ht="15.75" x14ac:dyDescent="0.25">
      <c r="A170" s="39">
        <v>37012</v>
      </c>
    </row>
    <row r="171" spans="1:1" ht="15.75" x14ac:dyDescent="0.25">
      <c r="A171" s="39">
        <v>37043</v>
      </c>
    </row>
    <row r="172" spans="1:1" ht="15.75" x14ac:dyDescent="0.25">
      <c r="A172" s="39">
        <v>37073</v>
      </c>
    </row>
    <row r="173" spans="1:1" ht="15.75" x14ac:dyDescent="0.25">
      <c r="A173" s="39">
        <v>37104</v>
      </c>
    </row>
    <row r="174" spans="1:1" ht="15.75" x14ac:dyDescent="0.25">
      <c r="A174" s="39">
        <v>37135</v>
      </c>
    </row>
    <row r="175" spans="1:1" ht="15.75" x14ac:dyDescent="0.25">
      <c r="A175" s="39">
        <v>37165</v>
      </c>
    </row>
    <row r="176" spans="1:1" ht="15.75" x14ac:dyDescent="0.25">
      <c r="A176" s="39">
        <v>37196</v>
      </c>
    </row>
    <row r="177" spans="1:1" ht="15.75" x14ac:dyDescent="0.25">
      <c r="A177" s="39">
        <v>37226</v>
      </c>
    </row>
    <row r="178" spans="1:1" ht="15.75" x14ac:dyDescent="0.25">
      <c r="A178" s="39">
        <v>37257</v>
      </c>
    </row>
    <row r="179" spans="1:1" ht="15.75" x14ac:dyDescent="0.25">
      <c r="A179" s="39">
        <v>37288</v>
      </c>
    </row>
    <row r="180" spans="1:1" ht="15.75" x14ac:dyDescent="0.25">
      <c r="A180" s="39">
        <v>37316</v>
      </c>
    </row>
    <row r="181" spans="1:1" ht="15.75" x14ac:dyDescent="0.25">
      <c r="A181" s="39">
        <v>37347</v>
      </c>
    </row>
    <row r="182" spans="1:1" ht="15.75" x14ac:dyDescent="0.25">
      <c r="A182" s="39">
        <v>37377</v>
      </c>
    </row>
    <row r="183" spans="1:1" ht="15.75" x14ac:dyDescent="0.25">
      <c r="A183" s="39">
        <v>37408</v>
      </c>
    </row>
    <row r="184" spans="1:1" ht="15.75" x14ac:dyDescent="0.25">
      <c r="A184" s="39">
        <v>37438</v>
      </c>
    </row>
    <row r="185" spans="1:1" ht="15.75" x14ac:dyDescent="0.25">
      <c r="A185" s="39">
        <v>37469</v>
      </c>
    </row>
    <row r="186" spans="1:1" ht="15.75" x14ac:dyDescent="0.25">
      <c r="A186" s="39">
        <v>37500</v>
      </c>
    </row>
    <row r="187" spans="1:1" ht="15.75" x14ac:dyDescent="0.25">
      <c r="A187" s="39">
        <v>37530</v>
      </c>
    </row>
    <row r="188" spans="1:1" ht="15.75" x14ac:dyDescent="0.25">
      <c r="A188" s="39">
        <v>37561</v>
      </c>
    </row>
    <row r="189" spans="1:1" ht="15.75" x14ac:dyDescent="0.25">
      <c r="A189" s="39">
        <v>37591</v>
      </c>
    </row>
    <row r="190" spans="1:1" ht="15.75" x14ac:dyDescent="0.25">
      <c r="A190" s="39">
        <v>37622</v>
      </c>
    </row>
    <row r="191" spans="1:1" ht="15.75" x14ac:dyDescent="0.25">
      <c r="A191" s="39">
        <v>37653</v>
      </c>
    </row>
    <row r="192" spans="1:1" ht="15.75" x14ac:dyDescent="0.25">
      <c r="A192" s="39">
        <v>37681</v>
      </c>
    </row>
    <row r="193" spans="1:1" ht="15.75" x14ac:dyDescent="0.25">
      <c r="A193" s="39">
        <v>37712</v>
      </c>
    </row>
    <row r="194" spans="1:1" ht="15.75" x14ac:dyDescent="0.25">
      <c r="A194" s="39">
        <v>37742</v>
      </c>
    </row>
    <row r="195" spans="1:1" ht="15.75" x14ac:dyDescent="0.25">
      <c r="A195" s="39">
        <v>37773</v>
      </c>
    </row>
    <row r="196" spans="1:1" ht="15.75" x14ac:dyDescent="0.25">
      <c r="A196" s="39">
        <v>37803</v>
      </c>
    </row>
    <row r="197" spans="1:1" ht="15.75" x14ac:dyDescent="0.25">
      <c r="A197" s="39">
        <v>37834</v>
      </c>
    </row>
    <row r="198" spans="1:1" ht="15.75" x14ac:dyDescent="0.25">
      <c r="A198" s="39">
        <v>37865</v>
      </c>
    </row>
    <row r="199" spans="1:1" ht="15.75" x14ac:dyDescent="0.25">
      <c r="A199" s="39">
        <v>37895</v>
      </c>
    </row>
    <row r="200" spans="1:1" ht="15.75" x14ac:dyDescent="0.25">
      <c r="A200" s="39">
        <v>37926</v>
      </c>
    </row>
    <row r="201" spans="1:1" ht="15.75" x14ac:dyDescent="0.25">
      <c r="A201" s="39">
        <v>37956</v>
      </c>
    </row>
    <row r="202" spans="1:1" ht="15.75" x14ac:dyDescent="0.25">
      <c r="A202" s="39">
        <v>37987</v>
      </c>
    </row>
    <row r="203" spans="1:1" ht="15.75" x14ac:dyDescent="0.25">
      <c r="A203" s="39">
        <v>38018</v>
      </c>
    </row>
    <row r="204" spans="1:1" ht="15.75" x14ac:dyDescent="0.25">
      <c r="A204" s="39">
        <v>38047</v>
      </c>
    </row>
    <row r="205" spans="1:1" ht="15.75" x14ac:dyDescent="0.25">
      <c r="A205" s="39">
        <v>38078</v>
      </c>
    </row>
    <row r="206" spans="1:1" ht="15.75" x14ac:dyDescent="0.25">
      <c r="A206" s="39">
        <v>38108</v>
      </c>
    </row>
    <row r="207" spans="1:1" ht="15.75" x14ac:dyDescent="0.25">
      <c r="A207" s="39">
        <v>38139</v>
      </c>
    </row>
    <row r="208" spans="1:1" ht="15.75" x14ac:dyDescent="0.25">
      <c r="A208" s="39">
        <v>38169</v>
      </c>
    </row>
    <row r="209" spans="1:8" ht="15.75" x14ac:dyDescent="0.25">
      <c r="A209" s="39">
        <v>38200</v>
      </c>
    </row>
    <row r="210" spans="1:8" ht="15.75" x14ac:dyDescent="0.25">
      <c r="A210" s="39">
        <v>38231</v>
      </c>
    </row>
    <row r="211" spans="1:8" ht="15.75" x14ac:dyDescent="0.25">
      <c r="A211" s="39">
        <v>38261</v>
      </c>
    </row>
    <row r="212" spans="1:8" ht="15.75" x14ac:dyDescent="0.25">
      <c r="A212" s="39">
        <v>38292</v>
      </c>
    </row>
    <row r="213" spans="1:8" ht="15.75" x14ac:dyDescent="0.25">
      <c r="A213" s="39">
        <v>38322</v>
      </c>
    </row>
    <row r="214" spans="1:8" ht="15.75" x14ac:dyDescent="0.25">
      <c r="A214" s="39">
        <v>38353</v>
      </c>
      <c r="E214" s="10">
        <v>144.28763440860217</v>
      </c>
      <c r="H214" s="6">
        <v>987.0743727598566</v>
      </c>
    </row>
    <row r="215" spans="1:8" ht="15.75" x14ac:dyDescent="0.25">
      <c r="A215" s="39">
        <v>38384</v>
      </c>
      <c r="E215" s="10">
        <v>147.09821428571428</v>
      </c>
      <c r="H215" s="6">
        <v>1004.2410714285714</v>
      </c>
    </row>
    <row r="216" spans="1:8" ht="15.75" x14ac:dyDescent="0.25">
      <c r="A216" s="39">
        <v>38412</v>
      </c>
      <c r="B216" s="11">
        <v>435.48387096774195</v>
      </c>
      <c r="E216" s="10">
        <v>140.4121863799283</v>
      </c>
      <c r="H216" s="6">
        <v>987.61200716845872</v>
      </c>
    </row>
    <row r="217" spans="1:8" ht="15.75" x14ac:dyDescent="0.25">
      <c r="A217" s="39">
        <v>38443</v>
      </c>
      <c r="B217" s="11">
        <v>450</v>
      </c>
      <c r="E217" s="10">
        <v>140.9027777777778</v>
      </c>
      <c r="H217" s="6">
        <v>992.87037037037044</v>
      </c>
    </row>
    <row r="218" spans="1:8" ht="15.75" x14ac:dyDescent="0.25">
      <c r="A218" s="39">
        <v>38473</v>
      </c>
      <c r="B218" s="11">
        <v>500</v>
      </c>
      <c r="E218" s="10">
        <v>141.10663082437279</v>
      </c>
      <c r="H218" s="6">
        <v>808.98297491039432</v>
      </c>
    </row>
    <row r="219" spans="1:8" ht="15.75" x14ac:dyDescent="0.25">
      <c r="A219" s="39">
        <v>38504</v>
      </c>
      <c r="B219" s="11">
        <v>500</v>
      </c>
      <c r="E219" s="50">
        <v>883.33333333333326</v>
      </c>
      <c r="H219" s="6">
        <v>882.80092592592598</v>
      </c>
    </row>
    <row r="220" spans="1:8" ht="15.75" x14ac:dyDescent="0.25">
      <c r="A220" s="39">
        <v>38534</v>
      </c>
      <c r="B220" s="11">
        <v>500</v>
      </c>
      <c r="E220" s="10">
        <v>146.37896825396825</v>
      </c>
      <c r="H220" s="6">
        <v>811.78315412186384</v>
      </c>
    </row>
    <row r="221" spans="1:8" ht="15.75" x14ac:dyDescent="0.25">
      <c r="A221" s="39">
        <v>38565</v>
      </c>
      <c r="B221" s="11">
        <v>861.11111111111109</v>
      </c>
      <c r="E221" s="10">
        <v>153.20340501792114</v>
      </c>
      <c r="H221" s="6">
        <v>778.94265232974919</v>
      </c>
    </row>
    <row r="222" spans="1:8" ht="15.75" x14ac:dyDescent="0.25">
      <c r="A222" s="39">
        <v>38596</v>
      </c>
      <c r="B222" s="11">
        <v>861.11111111111109</v>
      </c>
      <c r="E222" s="10">
        <v>153.20340501792114</v>
      </c>
      <c r="H222" s="6">
        <v>778.94265232974919</v>
      </c>
    </row>
    <row r="223" spans="1:8" ht="15.75" x14ac:dyDescent="0.25">
      <c r="A223" s="39">
        <v>38626</v>
      </c>
      <c r="B223" s="11">
        <v>605.51075268817203</v>
      </c>
      <c r="E223" s="10">
        <v>155.11363636363637</v>
      </c>
      <c r="H223" s="6">
        <v>761.40232974910407</v>
      </c>
    </row>
    <row r="224" spans="1:8" ht="15.75" x14ac:dyDescent="0.25">
      <c r="A224" s="39">
        <v>38657</v>
      </c>
      <c r="B224" s="11">
        <v>607.4537037037037</v>
      </c>
      <c r="E224" s="10">
        <v>142.99768518518519</v>
      </c>
      <c r="H224" s="6">
        <v>782.87037037037032</v>
      </c>
    </row>
    <row r="225" spans="1:8" ht="15.75" x14ac:dyDescent="0.25">
      <c r="A225" s="39">
        <v>38687</v>
      </c>
      <c r="B225" s="11">
        <v>599.43996415770619</v>
      </c>
      <c r="H225" s="6">
        <v>754.92831541218629</v>
      </c>
    </row>
    <row r="226" spans="1:8" ht="15.75" x14ac:dyDescent="0.25">
      <c r="A226" s="39">
        <v>38718</v>
      </c>
      <c r="B226" s="11">
        <v>599.61917562724011</v>
      </c>
      <c r="H226" s="6">
        <v>747.62544802867365</v>
      </c>
    </row>
    <row r="227" spans="1:8" ht="15.75" x14ac:dyDescent="0.25">
      <c r="A227" s="39">
        <v>38749</v>
      </c>
      <c r="B227" s="11">
        <v>603.49702380952385</v>
      </c>
      <c r="H227" s="6">
        <v>762.84722222222229</v>
      </c>
    </row>
    <row r="228" spans="1:8" ht="15.75" x14ac:dyDescent="0.25">
      <c r="A228" s="39">
        <v>38777</v>
      </c>
      <c r="H228" s="6">
        <v>766.39784946236546</v>
      </c>
    </row>
    <row r="229" spans="1:8" ht="15.75" x14ac:dyDescent="0.25">
      <c r="A229" s="39">
        <v>38808</v>
      </c>
      <c r="H229" s="6">
        <v>749.4212962962963</v>
      </c>
    </row>
    <row r="230" spans="1:8" ht="15.75" x14ac:dyDescent="0.25">
      <c r="A230" s="39">
        <v>38838</v>
      </c>
      <c r="H230" s="6">
        <v>762.76881720430129</v>
      </c>
    </row>
    <row r="231" spans="1:8" ht="15.75" x14ac:dyDescent="0.25">
      <c r="A231" s="39">
        <v>38869</v>
      </c>
      <c r="H231" s="6">
        <v>789.15229885057465</v>
      </c>
    </row>
    <row r="232" spans="1:8" ht="15.75" x14ac:dyDescent="0.25">
      <c r="A232" s="39">
        <v>38899</v>
      </c>
      <c r="H232" s="6">
        <v>787.10648148148152</v>
      </c>
    </row>
    <row r="233" spans="1:8" ht="15.75" x14ac:dyDescent="0.25">
      <c r="A233" s="39">
        <v>38930</v>
      </c>
      <c r="H233" s="6">
        <v>783.10185185185185</v>
      </c>
    </row>
    <row r="234" spans="1:8" ht="15.75" x14ac:dyDescent="0.25">
      <c r="A234" s="39">
        <v>38961</v>
      </c>
      <c r="H234" s="6">
        <v>807.66203703703695</v>
      </c>
    </row>
    <row r="235" spans="1:8" ht="15.75" x14ac:dyDescent="0.25">
      <c r="A235" s="39">
        <v>38991</v>
      </c>
      <c r="H235" s="6">
        <v>825.91845878136201</v>
      </c>
    </row>
    <row r="236" spans="1:8" ht="15.75" x14ac:dyDescent="0.25">
      <c r="A236" s="39">
        <v>39022</v>
      </c>
      <c r="H236" s="6">
        <v>746.52777777777783</v>
      </c>
    </row>
    <row r="237" spans="1:8" ht="15.75" x14ac:dyDescent="0.25">
      <c r="A237" s="39">
        <v>39052</v>
      </c>
      <c r="H237" s="6">
        <v>585.10304659498206</v>
      </c>
    </row>
    <row r="238" spans="1:8" ht="15.75" x14ac:dyDescent="0.25">
      <c r="A238" s="39">
        <v>39083</v>
      </c>
      <c r="H238" s="6">
        <v>610.79749103942652</v>
      </c>
    </row>
    <row r="239" spans="1:8" ht="15.75" x14ac:dyDescent="0.25">
      <c r="A239" s="39">
        <v>39114</v>
      </c>
      <c r="H239" s="6">
        <v>622.22222222222229</v>
      </c>
    </row>
    <row r="240" spans="1:8" ht="15.75" x14ac:dyDescent="0.25">
      <c r="A240" s="39">
        <v>39142</v>
      </c>
      <c r="H240" s="6">
        <v>603.31541218637983</v>
      </c>
    </row>
    <row r="241" spans="1:8" ht="15.75" x14ac:dyDescent="0.25">
      <c r="A241" s="39">
        <v>39173</v>
      </c>
      <c r="H241" s="6">
        <v>612.17592592592598</v>
      </c>
    </row>
    <row r="242" spans="1:8" ht="15.75" x14ac:dyDescent="0.25">
      <c r="A242" s="39">
        <v>39203</v>
      </c>
    </row>
    <row r="243" spans="1:8" ht="15.75" x14ac:dyDescent="0.25">
      <c r="A243" s="39">
        <v>39234</v>
      </c>
    </row>
    <row r="244" spans="1:8" ht="15.75" x14ac:dyDescent="0.25">
      <c r="A244" s="39">
        <v>39264</v>
      </c>
    </row>
    <row r="245" spans="1:8" ht="15.75" x14ac:dyDescent="0.25">
      <c r="A245" s="39">
        <v>39295</v>
      </c>
    </row>
    <row r="246" spans="1:8" ht="15.75" x14ac:dyDescent="0.25">
      <c r="A246" s="39">
        <v>39326</v>
      </c>
      <c r="H246" s="6">
        <v>648.98148148148152</v>
      </c>
    </row>
    <row r="247" spans="1:8" ht="15.75" x14ac:dyDescent="0.25">
      <c r="A247" s="39">
        <v>39356</v>
      </c>
      <c r="H247" s="6">
        <v>662.36559139784947</v>
      </c>
    </row>
    <row r="248" spans="1:8" ht="15.75" x14ac:dyDescent="0.25">
      <c r="A248" s="39">
        <v>39387</v>
      </c>
      <c r="H248" s="6">
        <v>638.77688172043008</v>
      </c>
    </row>
    <row r="249" spans="1:8" ht="15.75" x14ac:dyDescent="0.25">
      <c r="A249" s="39">
        <v>39417</v>
      </c>
      <c r="H249" s="6">
        <v>666.28584229390674</v>
      </c>
    </row>
    <row r="250" spans="1:8" ht="15.75" x14ac:dyDescent="0.25">
      <c r="A250" s="39">
        <v>39448</v>
      </c>
      <c r="H250" s="6">
        <v>678.92025089605738</v>
      </c>
    </row>
    <row r="251" spans="1:8" ht="15.75" x14ac:dyDescent="0.25">
      <c r="A251" s="39">
        <v>39479</v>
      </c>
      <c r="H251" s="6">
        <v>700.74233716475101</v>
      </c>
    </row>
    <row r="252" spans="1:8" ht="15.75" x14ac:dyDescent="0.25">
      <c r="A252" s="39">
        <v>39508</v>
      </c>
      <c r="H252" s="6">
        <v>707.2132616487454</v>
      </c>
    </row>
    <row r="253" spans="1:8" ht="15.75" x14ac:dyDescent="0.25">
      <c r="A253" s="39">
        <v>39539</v>
      </c>
      <c r="H253" s="6">
        <v>685.55555555555554</v>
      </c>
    </row>
    <row r="254" spans="1:8" ht="15.75" x14ac:dyDescent="0.25">
      <c r="A254" s="39">
        <v>39569</v>
      </c>
      <c r="H254" s="6">
        <v>694.48924731182808</v>
      </c>
    </row>
    <row r="255" spans="1:8" ht="15.75" x14ac:dyDescent="0.25">
      <c r="A255" s="39">
        <v>39600</v>
      </c>
      <c r="H255" s="6">
        <v>643.47222222222217</v>
      </c>
    </row>
    <row r="256" spans="1:8" ht="15.75" x14ac:dyDescent="0.25">
      <c r="A256" s="39">
        <v>39630</v>
      </c>
      <c r="H256" s="6">
        <v>620.72132616487454</v>
      </c>
    </row>
    <row r="257" spans="1:8" ht="15.75" x14ac:dyDescent="0.25">
      <c r="A257" s="39">
        <v>39661</v>
      </c>
      <c r="H257" s="6">
        <v>621.16935483870975</v>
      </c>
    </row>
    <row r="258" spans="1:8" ht="15.75" x14ac:dyDescent="0.25">
      <c r="A258" s="39">
        <v>39692</v>
      </c>
    </row>
    <row r="259" spans="1:8" ht="15.75" x14ac:dyDescent="0.25">
      <c r="A259" s="39">
        <v>39722</v>
      </c>
    </row>
    <row r="260" spans="1:8" ht="15.75" x14ac:dyDescent="0.25">
      <c r="A260" s="39">
        <v>39753</v>
      </c>
    </row>
    <row r="261" spans="1:8" ht="15.75" x14ac:dyDescent="0.25">
      <c r="A261" s="39">
        <v>39783</v>
      </c>
    </row>
    <row r="262" spans="1:8" ht="15.75" x14ac:dyDescent="0.25">
      <c r="A262" s="39">
        <v>39814</v>
      </c>
      <c r="H262" s="6">
        <v>595.06523297491037</v>
      </c>
    </row>
    <row r="263" spans="1:8" ht="15.75" x14ac:dyDescent="0.25">
      <c r="A263" s="39">
        <v>39845</v>
      </c>
      <c r="H263" s="6">
        <v>608.78409226190468</v>
      </c>
    </row>
    <row r="264" spans="1:8" ht="15.75" x14ac:dyDescent="0.25">
      <c r="A264" s="39">
        <v>39873</v>
      </c>
      <c r="H264" s="6">
        <v>621.30426299283181</v>
      </c>
    </row>
    <row r="265" spans="1:8" ht="15.75" x14ac:dyDescent="0.25">
      <c r="A265" s="39">
        <v>39904</v>
      </c>
      <c r="H265" s="6">
        <v>667.4820462962964</v>
      </c>
    </row>
    <row r="266" spans="1:8" ht="15.75" x14ac:dyDescent="0.25">
      <c r="A266" s="39">
        <v>39934</v>
      </c>
      <c r="H266" s="6">
        <v>690.81195564516111</v>
      </c>
    </row>
    <row r="267" spans="1:8" ht="15.75" x14ac:dyDescent="0.25">
      <c r="A267" s="39">
        <v>39965</v>
      </c>
      <c r="H267" s="6">
        <v>700.46868055555558</v>
      </c>
    </row>
    <row r="268" spans="1:8" ht="15.75" x14ac:dyDescent="0.25">
      <c r="A268" s="39">
        <v>39995</v>
      </c>
      <c r="H268" s="6">
        <v>723.29749103942652</v>
      </c>
    </row>
    <row r="269" spans="1:8" ht="15.75" x14ac:dyDescent="0.25">
      <c r="A269" s="39">
        <v>40026</v>
      </c>
      <c r="H269" s="6">
        <v>754.99551971326173</v>
      </c>
    </row>
    <row r="270" spans="1:8" ht="15.75" x14ac:dyDescent="0.25">
      <c r="A270" s="39">
        <v>40057</v>
      </c>
      <c r="H270" s="6">
        <v>755</v>
      </c>
    </row>
    <row r="271" spans="1:8" ht="15.75" x14ac:dyDescent="0.25">
      <c r="A271" s="39">
        <v>40087</v>
      </c>
      <c r="H271" s="6">
        <v>754.99551971326173</v>
      </c>
    </row>
    <row r="272" spans="1:8" ht="15.75" x14ac:dyDescent="0.25">
      <c r="A272" s="39">
        <v>40118</v>
      </c>
      <c r="H272" s="6">
        <v>755</v>
      </c>
    </row>
    <row r="273" spans="1:8" ht="15.75" x14ac:dyDescent="0.25">
      <c r="A273" s="39">
        <v>40148</v>
      </c>
      <c r="H273" s="6">
        <v>754.99551971326173</v>
      </c>
    </row>
    <row r="274" spans="1:8" ht="15.75" x14ac:dyDescent="0.25">
      <c r="A274" s="39">
        <v>40179</v>
      </c>
      <c r="H274" s="6">
        <v>754.99551971326161</v>
      </c>
    </row>
    <row r="275" spans="1:8" ht="15.75" x14ac:dyDescent="0.25">
      <c r="A275" s="39">
        <v>40210</v>
      </c>
      <c r="H275" s="6">
        <v>647.99227182539653</v>
      </c>
    </row>
    <row r="276" spans="1:8" ht="15.75" x14ac:dyDescent="0.25">
      <c r="A276" s="39">
        <v>40238</v>
      </c>
      <c r="H276" s="6">
        <v>654.1</v>
      </c>
    </row>
    <row r="277" spans="1:8" ht="15.75" x14ac:dyDescent="0.25">
      <c r="A277" s="39">
        <v>40269</v>
      </c>
      <c r="H277" s="6">
        <v>646.79999999999995</v>
      </c>
    </row>
    <row r="278" spans="1:8" ht="15.75" x14ac:dyDescent="0.25">
      <c r="A278" s="39">
        <v>40299</v>
      </c>
      <c r="H278" s="6">
        <v>644.79999999999995</v>
      </c>
    </row>
    <row r="279" spans="1:8" ht="15" customHeight="1" x14ac:dyDescent="0.25">
      <c r="A279" s="39">
        <v>40330</v>
      </c>
      <c r="H279" s="6">
        <v>648.29999999999995</v>
      </c>
    </row>
    <row r="280" spans="1:8" ht="15.75" x14ac:dyDescent="0.25">
      <c r="A280" s="39">
        <v>40360</v>
      </c>
    </row>
    <row r="281" spans="1:8" ht="15.75" x14ac:dyDescent="0.25">
      <c r="A281" s="39">
        <v>40391</v>
      </c>
    </row>
    <row r="282" spans="1:8" ht="15.75" x14ac:dyDescent="0.25">
      <c r="A282" s="39">
        <v>40422</v>
      </c>
    </row>
    <row r="283" spans="1:8" ht="15.75" x14ac:dyDescent="0.25">
      <c r="A283" s="39">
        <v>40452</v>
      </c>
    </row>
    <row r="284" spans="1:8" ht="15.75" x14ac:dyDescent="0.25">
      <c r="A284" s="39">
        <v>40483</v>
      </c>
    </row>
    <row r="285" spans="1:8" ht="15.75" x14ac:dyDescent="0.25">
      <c r="A285" s="39">
        <v>40513</v>
      </c>
    </row>
    <row r="286" spans="1:8" ht="15.75" x14ac:dyDescent="0.25">
      <c r="A286" s="39">
        <v>40544</v>
      </c>
    </row>
    <row r="287" spans="1:8" ht="15.75" x14ac:dyDescent="0.25">
      <c r="A287" s="39">
        <v>40575</v>
      </c>
    </row>
    <row r="288" spans="1:8" ht="15.75" x14ac:dyDescent="0.25">
      <c r="A288" s="39">
        <v>40603</v>
      </c>
    </row>
    <row r="289" spans="1:1" ht="15.75" x14ac:dyDescent="0.25">
      <c r="A289" s="39">
        <v>40634</v>
      </c>
    </row>
    <row r="290" spans="1:1" ht="15.75" x14ac:dyDescent="0.25">
      <c r="A290" s="39">
        <v>40664</v>
      </c>
    </row>
    <row r="291" spans="1:1" ht="15.75" x14ac:dyDescent="0.25">
      <c r="A291" s="39">
        <v>40695</v>
      </c>
    </row>
    <row r="292" spans="1:1" ht="15.75" x14ac:dyDescent="0.25">
      <c r="A292" s="39">
        <v>40725</v>
      </c>
    </row>
    <row r="293" spans="1:1" ht="15.75" x14ac:dyDescent="0.25">
      <c r="A293" s="39">
        <v>40756</v>
      </c>
    </row>
    <row r="294" spans="1:1" ht="15.75" x14ac:dyDescent="0.25">
      <c r="A294" s="39">
        <v>40787</v>
      </c>
    </row>
    <row r="295" spans="1:1" ht="15.75" x14ac:dyDescent="0.25">
      <c r="A295" s="39">
        <v>40817</v>
      </c>
    </row>
    <row r="296" spans="1:1" ht="15.75" x14ac:dyDescent="0.25">
      <c r="A296" s="39">
        <v>40848</v>
      </c>
    </row>
    <row r="297" spans="1:1" ht="15.75" x14ac:dyDescent="0.25">
      <c r="A297" s="39">
        <v>40878</v>
      </c>
    </row>
    <row r="298" spans="1:1" ht="15.75" x14ac:dyDescent="0.25">
      <c r="A298" s="39">
        <v>40909</v>
      </c>
    </row>
    <row r="299" spans="1:1" ht="15.75" x14ac:dyDescent="0.25">
      <c r="A299" s="39">
        <v>40940</v>
      </c>
    </row>
    <row r="300" spans="1:1" ht="15.75" x14ac:dyDescent="0.25">
      <c r="A300" s="39">
        <v>40969</v>
      </c>
    </row>
    <row r="301" spans="1:1" ht="15.75" x14ac:dyDescent="0.25">
      <c r="A301" s="39">
        <v>41000</v>
      </c>
    </row>
    <row r="302" spans="1:1" ht="15.75" x14ac:dyDescent="0.25">
      <c r="A302" s="39">
        <v>41030</v>
      </c>
    </row>
    <row r="303" spans="1:1" ht="15.75" x14ac:dyDescent="0.25">
      <c r="A303" s="39">
        <v>41061</v>
      </c>
    </row>
    <row r="304" spans="1:1" ht="15.75" x14ac:dyDescent="0.25">
      <c r="A304" s="39">
        <v>41091</v>
      </c>
    </row>
    <row r="305" spans="1:1" ht="15.75" x14ac:dyDescent="0.25">
      <c r="A305" s="39">
        <v>41122</v>
      </c>
    </row>
    <row r="306" spans="1:1" ht="15.75" x14ac:dyDescent="0.25">
      <c r="A306" s="39">
        <v>41153</v>
      </c>
    </row>
    <row r="307" spans="1:1" ht="15.75" x14ac:dyDescent="0.25">
      <c r="A307" s="39">
        <v>41183</v>
      </c>
    </row>
    <row r="308" spans="1:1" ht="15.75" x14ac:dyDescent="0.25">
      <c r="A308" s="39">
        <v>41214</v>
      </c>
    </row>
    <row r="309" spans="1:1" ht="15.75" x14ac:dyDescent="0.25">
      <c r="A309" s="39">
        <v>41244</v>
      </c>
    </row>
    <row r="310" spans="1:1" ht="15.75" x14ac:dyDescent="0.25">
      <c r="A310" s="39">
        <v>41275</v>
      </c>
    </row>
    <row r="311" spans="1:1" ht="15.75" x14ac:dyDescent="0.25">
      <c r="A311" s="39">
        <v>41306</v>
      </c>
    </row>
    <row r="312" spans="1:1" ht="15.75" x14ac:dyDescent="0.25">
      <c r="A312" s="39">
        <v>41334</v>
      </c>
    </row>
    <row r="313" spans="1:1" ht="15.75" x14ac:dyDescent="0.25">
      <c r="A313" s="39">
        <v>41365</v>
      </c>
    </row>
    <row r="314" spans="1:1" ht="15.75" x14ac:dyDescent="0.25">
      <c r="A314" s="39">
        <v>41395</v>
      </c>
    </row>
    <row r="315" spans="1:1" ht="15.75" x14ac:dyDescent="0.25">
      <c r="A315" s="39">
        <v>41426</v>
      </c>
    </row>
    <row r="316" spans="1:1" ht="15.75" x14ac:dyDescent="0.25">
      <c r="A316" s="39">
        <v>41456</v>
      </c>
    </row>
    <row r="317" spans="1:1" ht="15.75" x14ac:dyDescent="0.25">
      <c r="A317" s="39">
        <v>41487</v>
      </c>
    </row>
    <row r="318" spans="1:1" ht="15.75" x14ac:dyDescent="0.25">
      <c r="A318" s="39">
        <v>41518</v>
      </c>
    </row>
    <row r="319" spans="1:1" ht="15.75" x14ac:dyDescent="0.25">
      <c r="A319" s="39">
        <v>41548</v>
      </c>
    </row>
    <row r="320" spans="1:1" ht="15.75" x14ac:dyDescent="0.25">
      <c r="A320" s="39">
        <v>41579</v>
      </c>
    </row>
    <row r="321" spans="1:13" ht="15.75" x14ac:dyDescent="0.25">
      <c r="A321" s="39">
        <v>41609</v>
      </c>
    </row>
    <row r="322" spans="1:13" ht="15.75" x14ac:dyDescent="0.25">
      <c r="A322" s="39">
        <v>41640</v>
      </c>
      <c r="I322" s="10">
        <f>7737*1000/31/24/60</f>
        <v>173.31989247311827</v>
      </c>
    </row>
    <row r="323" spans="1:13" ht="15.75" x14ac:dyDescent="0.25">
      <c r="A323" s="39">
        <v>41671</v>
      </c>
      <c r="I323" s="10">
        <f>7059*1000/28/24/60</f>
        <v>175.07440476190476</v>
      </c>
    </row>
    <row r="324" spans="1:13" ht="15.75" x14ac:dyDescent="0.25">
      <c r="A324" s="39">
        <v>41699</v>
      </c>
      <c r="I324" s="10">
        <f>7729*1000/31/24/60</f>
        <v>173.14068100358423</v>
      </c>
    </row>
    <row r="325" spans="1:13" ht="15.75" x14ac:dyDescent="0.25">
      <c r="A325" s="39">
        <v>41730</v>
      </c>
      <c r="I325" s="10">
        <f>7606*1000/30/24/60</f>
        <v>176.06481481481481</v>
      </c>
      <c r="L325" s="20">
        <f>25917*1000/30/24/60</f>
        <v>599.93055555555554</v>
      </c>
    </row>
    <row r="326" spans="1:13" ht="15.75" x14ac:dyDescent="0.25">
      <c r="A326" s="39">
        <v>41760</v>
      </c>
      <c r="I326" s="51">
        <f>7835</f>
        <v>7835</v>
      </c>
      <c r="L326" s="20">
        <f>28304*1000/31/24/60</f>
        <v>634.05017921146953</v>
      </c>
    </row>
    <row r="327" spans="1:13" ht="15.75" x14ac:dyDescent="0.25">
      <c r="A327" s="39">
        <v>41791</v>
      </c>
      <c r="I327" s="10">
        <f>7370*1000/30/24/60</f>
        <v>170.60185185185185</v>
      </c>
      <c r="L327" s="20">
        <f>25929*1000/30/24/60</f>
        <v>600.20833333333337</v>
      </c>
    </row>
    <row r="328" spans="1:13" ht="15.75" x14ac:dyDescent="0.25">
      <c r="A328" s="39">
        <v>41821</v>
      </c>
      <c r="I328" s="10">
        <f>7731*1000/31/24/60</f>
        <v>173.18548387096774</v>
      </c>
      <c r="L328" s="20">
        <f>27005*1000/31/24/60</f>
        <v>604.95071684587811</v>
      </c>
    </row>
    <row r="329" spans="1:13" ht="15.75" x14ac:dyDescent="0.25">
      <c r="A329" s="39">
        <v>41852</v>
      </c>
      <c r="H329" s="6">
        <f>25465*1000/31/24/60</f>
        <v>570.45250896057348</v>
      </c>
      <c r="I329" s="10">
        <f>7497*1000/31/24/60</f>
        <v>167.94354838709677</v>
      </c>
      <c r="L329" s="20">
        <f>25867*1000/31/24/60</f>
        <v>579.4578853046595</v>
      </c>
    </row>
    <row r="330" spans="1:13" ht="15.75" x14ac:dyDescent="0.25">
      <c r="A330" s="39">
        <v>41883</v>
      </c>
      <c r="H330" s="6">
        <f>21528*1000/30/24/60</f>
        <v>498.33333333333331</v>
      </c>
      <c r="I330" s="10">
        <f>7375*1000/30/24/60</f>
        <v>170.71759259259261</v>
      </c>
      <c r="L330" s="20">
        <f>30374*1000/30/24/60</f>
        <v>703.10185185185185</v>
      </c>
    </row>
    <row r="331" spans="1:13" ht="15.75" x14ac:dyDescent="0.25">
      <c r="A331" s="39">
        <v>41913</v>
      </c>
      <c r="H331" s="6">
        <v>508</v>
      </c>
      <c r="I331" s="10">
        <v>173</v>
      </c>
      <c r="L331" s="20">
        <v>646</v>
      </c>
      <c r="M331" s="20">
        <v>682</v>
      </c>
    </row>
    <row r="332" spans="1:13" ht="15.75" x14ac:dyDescent="0.25">
      <c r="A332" s="39">
        <v>41944</v>
      </c>
      <c r="H332" s="6">
        <v>635</v>
      </c>
      <c r="L332" s="20">
        <v>659</v>
      </c>
      <c r="M332" s="20">
        <v>697</v>
      </c>
    </row>
    <row r="333" spans="1:13" ht="15.75" x14ac:dyDescent="0.25">
      <c r="A333" s="39">
        <v>41974</v>
      </c>
      <c r="H333" s="6">
        <v>679</v>
      </c>
      <c r="L333" s="20">
        <v>658</v>
      </c>
      <c r="M333" s="20">
        <v>696</v>
      </c>
    </row>
    <row r="334" spans="1:13" ht="15.75" x14ac:dyDescent="0.25">
      <c r="A334" s="39">
        <v>42005</v>
      </c>
      <c r="H334" s="6">
        <v>729.72650089605736</v>
      </c>
      <c r="L334" s="20">
        <v>623.29749103942652</v>
      </c>
      <c r="M334" s="20">
        <v>685.73028673835131</v>
      </c>
    </row>
    <row r="335" spans="1:13" ht="15.75" x14ac:dyDescent="0.25">
      <c r="A335" s="39">
        <v>42036</v>
      </c>
      <c r="H335" s="6">
        <v>730.70015624999883</v>
      </c>
      <c r="L335" s="20">
        <v>625.19841269841277</v>
      </c>
      <c r="M335" s="20">
        <v>690.02976190476193</v>
      </c>
    </row>
    <row r="336" spans="1:13" ht="15.75" x14ac:dyDescent="0.25">
      <c r="A336" s="39">
        <v>42064</v>
      </c>
      <c r="H336" s="6">
        <v>741.94258736559198</v>
      </c>
      <c r="M336" s="20">
        <v>700.17921146953415</v>
      </c>
    </row>
    <row r="337" spans="1:13" ht="15.75" x14ac:dyDescent="0.25">
      <c r="A337" s="39">
        <v>42095</v>
      </c>
      <c r="H337" s="6">
        <v>532.32250925925871</v>
      </c>
      <c r="M337" s="20">
        <v>682.75462962962956</v>
      </c>
    </row>
    <row r="338" spans="1:13" ht="15.75" x14ac:dyDescent="0.25">
      <c r="A338" s="39">
        <v>42125</v>
      </c>
      <c r="C338" s="10">
        <v>737.20467965949751</v>
      </c>
      <c r="H338" s="6">
        <v>691.5491778673852</v>
      </c>
      <c r="M338" s="20">
        <v>697.7598566308244</v>
      </c>
    </row>
    <row r="339" spans="1:13" ht="15.75" x14ac:dyDescent="0.25">
      <c r="A339" s="39">
        <v>42156</v>
      </c>
      <c r="C339" s="10">
        <v>729.14888888888959</v>
      </c>
      <c r="H339" s="6">
        <v>725.36930555555443</v>
      </c>
      <c r="M339" s="20">
        <v>683.64695340501794</v>
      </c>
    </row>
    <row r="340" spans="1:13" ht="15.75" x14ac:dyDescent="0.25">
      <c r="A340" s="39">
        <v>42186</v>
      </c>
      <c r="C340" s="10">
        <v>727.09343413978434</v>
      </c>
      <c r="H340" s="6">
        <v>744.2747401433686</v>
      </c>
      <c r="M340" s="20">
        <v>678.80824372759855</v>
      </c>
    </row>
    <row r="341" spans="1:13" ht="15.75" x14ac:dyDescent="0.25">
      <c r="A341" s="39">
        <v>42217</v>
      </c>
      <c r="C341" s="10">
        <v>731.15518369175561</v>
      </c>
      <c r="H341" s="6">
        <v>754.22574820788475</v>
      </c>
      <c r="M341" s="20">
        <v>705.46594982078864</v>
      </c>
    </row>
    <row r="342" spans="1:13" ht="15.75" x14ac:dyDescent="0.25">
      <c r="A342" s="39">
        <v>42248</v>
      </c>
      <c r="C342" s="10">
        <f>33599*1000/30/24/60</f>
        <v>777.75462962962968</v>
      </c>
      <c r="H342" s="6">
        <f>32317*1000/30/24/60</f>
        <v>748.0787037037037</v>
      </c>
      <c r="M342" s="20">
        <f>24560*1000/30/24/60</f>
        <v>568.51851851851848</v>
      </c>
    </row>
    <row r="343" spans="1:13" ht="15.75" x14ac:dyDescent="0.25">
      <c r="A343" s="39">
        <v>42278</v>
      </c>
      <c r="C343" s="10">
        <f>34905*1000/30/24/60</f>
        <v>807.98611111111109</v>
      </c>
      <c r="H343" s="6">
        <f>33055*1000/31/24/60</f>
        <v>740.47939068100345</v>
      </c>
      <c r="M343" s="20">
        <f>28602*1000/30/24/60</f>
        <v>662.08333333333337</v>
      </c>
    </row>
    <row r="344" spans="1:13" ht="15.75" x14ac:dyDescent="0.25">
      <c r="A344" s="39">
        <v>42309</v>
      </c>
      <c r="C344" s="10">
        <f>34374*1000/30/24/60</f>
        <v>795.69444444444446</v>
      </c>
      <c r="H344" s="6">
        <f>32239*1000/30/24/60</f>
        <v>746.27314814814804</v>
      </c>
      <c r="M344" s="20">
        <f>29211*1000/30/24/60</f>
        <v>676.18055555555554</v>
      </c>
    </row>
    <row r="345" spans="1:13" ht="15.75" x14ac:dyDescent="0.25">
      <c r="A345" s="39">
        <v>42339</v>
      </c>
      <c r="C345" s="10">
        <f>34647*1000/30/24/60</f>
        <v>802.01388888888891</v>
      </c>
      <c r="H345" s="6">
        <f>33395*1000/31/24/60</f>
        <v>748.09587813620067</v>
      </c>
      <c r="M345" s="20">
        <f>30269*1000/30/24/60</f>
        <v>700.67129629629619</v>
      </c>
    </row>
    <row r="346" spans="1:13" ht="15.75" x14ac:dyDescent="0.25">
      <c r="A346" s="39">
        <v>42370</v>
      </c>
      <c r="C346" s="10">
        <f>34952*1000/31/24/60</f>
        <v>782.97491039426518</v>
      </c>
      <c r="H346" s="6">
        <f>32377*1000/31/24/60</f>
        <v>725.29121863799287</v>
      </c>
      <c r="M346" s="20">
        <f>30982*1000/31/24/60</f>
        <v>694.04121863799287</v>
      </c>
    </row>
    <row r="347" spans="1:13" ht="15.75" x14ac:dyDescent="0.25">
      <c r="A347" s="39">
        <v>42401</v>
      </c>
      <c r="C347" s="10">
        <f>30246*1000/29/24/60</f>
        <v>724.28160919540232</v>
      </c>
      <c r="H347" s="6">
        <f>31471*1000/29/24/60</f>
        <v>753.61590038314171</v>
      </c>
      <c r="M347" s="20">
        <f>28927*1000/29/24/60</f>
        <v>692.69636015325671</v>
      </c>
    </row>
    <row r="348" spans="1:13" ht="15.75" x14ac:dyDescent="0.25">
      <c r="A348" s="39">
        <v>42430</v>
      </c>
      <c r="B348" s="11">
        <f>22320*1000/31/24/60</f>
        <v>500</v>
      </c>
      <c r="C348" s="10">
        <f>35917*1000/31/24/60</f>
        <v>804.59229390681003</v>
      </c>
      <c r="H348" s="6">
        <f>32673*1000/31/24/60</f>
        <v>731.92204301075265</v>
      </c>
      <c r="M348" s="20">
        <f>30931*1000/31/24/60</f>
        <v>692.89874551971332</v>
      </c>
    </row>
    <row r="349" spans="1:13" ht="15.75" x14ac:dyDescent="0.25">
      <c r="A349" s="39">
        <v>42461</v>
      </c>
      <c r="B349" s="11">
        <v>500</v>
      </c>
      <c r="C349" s="10">
        <v>792</v>
      </c>
      <c r="H349" s="6">
        <v>754</v>
      </c>
      <c r="M349" s="20">
        <v>675</v>
      </c>
    </row>
    <row r="350" spans="1:13" ht="15.75" x14ac:dyDescent="0.25">
      <c r="A350" s="39">
        <v>42491</v>
      </c>
      <c r="B350" s="11">
        <v>500</v>
      </c>
      <c r="C350" s="10">
        <v>786</v>
      </c>
      <c r="H350" s="6">
        <v>745</v>
      </c>
      <c r="M350" s="20">
        <v>690</v>
      </c>
    </row>
    <row r="351" spans="1:13" ht="15.75" x14ac:dyDescent="0.25">
      <c r="A351" s="39">
        <v>42522</v>
      </c>
      <c r="B351" s="11">
        <v>500</v>
      </c>
      <c r="C351" s="10">
        <v>782.8966921296302</v>
      </c>
      <c r="H351" s="6">
        <v>751.81584722222215</v>
      </c>
      <c r="M351" s="20">
        <v>713.00925925925924</v>
      </c>
    </row>
    <row r="352" spans="1:13" ht="15.75" x14ac:dyDescent="0.25">
      <c r="A352" s="39">
        <v>42552</v>
      </c>
      <c r="B352" s="13">
        <v>477</v>
      </c>
      <c r="C352" s="10">
        <v>748.57164102563991</v>
      </c>
      <c r="H352" s="14">
        <v>497.008547008547</v>
      </c>
      <c r="M352" s="20">
        <v>658.16239316239319</v>
      </c>
    </row>
    <row r="353" spans="1:14" ht="15.75" x14ac:dyDescent="0.25">
      <c r="A353" s="39">
        <v>42583</v>
      </c>
      <c r="B353" s="15">
        <v>713</v>
      </c>
      <c r="C353" s="10">
        <v>781.71223566308333</v>
      </c>
      <c r="H353" s="6">
        <v>747.62544802867387</v>
      </c>
      <c r="M353" s="20">
        <v>690.00896057347677</v>
      </c>
    </row>
    <row r="354" spans="1:14" ht="15.75" x14ac:dyDescent="0.25">
      <c r="A354" s="39">
        <v>42614</v>
      </c>
      <c r="B354" s="15">
        <v>674.83796296296305</v>
      </c>
      <c r="C354" s="10">
        <v>778.5568379629625</v>
      </c>
      <c r="H354" s="6">
        <v>764.62962962962968</v>
      </c>
      <c r="M354" s="20">
        <v>694.21296296296293</v>
      </c>
    </row>
    <row r="355" spans="1:14" ht="15.75" x14ac:dyDescent="0.25">
      <c r="A355" s="39">
        <v>42644</v>
      </c>
      <c r="B355" s="15">
        <v>648.23028673835131</v>
      </c>
      <c r="C355" s="10">
        <v>782.00372983870955</v>
      </c>
      <c r="H355" s="6">
        <v>778.27060931899655</v>
      </c>
      <c r="M355" s="20">
        <v>684.90143369175632</v>
      </c>
    </row>
    <row r="356" spans="1:14" ht="15.75" x14ac:dyDescent="0.25">
      <c r="A356" s="39">
        <v>42675</v>
      </c>
      <c r="B356" s="15">
        <v>613</v>
      </c>
      <c r="C356" s="10">
        <v>731</v>
      </c>
      <c r="H356" s="6">
        <v>774</v>
      </c>
      <c r="M356" s="20">
        <v>683</v>
      </c>
    </row>
    <row r="357" spans="1:14" ht="15.75" x14ac:dyDescent="0.25">
      <c r="A357" s="39">
        <v>42705</v>
      </c>
      <c r="B357" s="11">
        <v>644</v>
      </c>
      <c r="C357" s="10">
        <v>788</v>
      </c>
      <c r="H357" s="6">
        <v>781</v>
      </c>
      <c r="N357" s="16">
        <v>742.02508960573482</v>
      </c>
    </row>
    <row r="358" spans="1:14" ht="15.75" x14ac:dyDescent="0.25">
      <c r="A358" s="39">
        <v>42736</v>
      </c>
      <c r="B358" s="11">
        <v>691</v>
      </c>
      <c r="C358" s="10">
        <v>777</v>
      </c>
      <c r="H358" s="6">
        <v>798</v>
      </c>
      <c r="N358" s="16">
        <v>745.79749103942663</v>
      </c>
    </row>
    <row r="359" spans="1:14" ht="15.75" x14ac:dyDescent="0.25">
      <c r="A359" s="39">
        <v>42767</v>
      </c>
      <c r="B359" s="16">
        <v>688.34325396825398</v>
      </c>
      <c r="C359" s="16">
        <v>754.38988095238096</v>
      </c>
      <c r="H359" s="17">
        <v>799.7519841269841</v>
      </c>
      <c r="N359" s="16">
        <v>746.15575396825398</v>
      </c>
    </row>
    <row r="360" spans="1:14" ht="15.75" x14ac:dyDescent="0.25">
      <c r="A360" s="39">
        <v>42795</v>
      </c>
      <c r="B360" s="16">
        <v>673.2078853046595</v>
      </c>
      <c r="C360" s="16">
        <v>783.69754480286724</v>
      </c>
      <c r="H360" s="17">
        <v>790.54659498207877</v>
      </c>
      <c r="N360" s="16">
        <v>720.75492831541226</v>
      </c>
    </row>
    <row r="361" spans="1:14" ht="15.75" x14ac:dyDescent="0.25">
      <c r="A361" s="39">
        <v>42826</v>
      </c>
      <c r="B361" s="16">
        <v>640.16203703703707</v>
      </c>
      <c r="C361" s="16">
        <v>783.73497916666656</v>
      </c>
      <c r="D361" s="16">
        <v>148.42592592592601</v>
      </c>
      <c r="H361" s="17">
        <v>788.7037037037037</v>
      </c>
      <c r="N361" s="16">
        <v>717.06018518518511</v>
      </c>
    </row>
    <row r="362" spans="1:14" ht="15.75" x14ac:dyDescent="0.25">
      <c r="A362" s="39">
        <v>42856</v>
      </c>
      <c r="B362" s="16">
        <v>485.97670250896061</v>
      </c>
      <c r="C362" s="16">
        <v>789.87692428315427</v>
      </c>
      <c r="D362" s="16">
        <v>156.40681003584228</v>
      </c>
      <c r="H362" s="17">
        <v>794.06362007168457</v>
      </c>
      <c r="N362" s="16">
        <v>726.36200716845872</v>
      </c>
    </row>
    <row r="363" spans="1:14" ht="15.75" x14ac:dyDescent="0.25">
      <c r="A363" s="39">
        <v>42887</v>
      </c>
      <c r="B363" s="16">
        <v>811.15277777777783</v>
      </c>
      <c r="C363" s="16">
        <v>786.20737499999996</v>
      </c>
      <c r="D363" s="16">
        <v>150.16203703703704</v>
      </c>
      <c r="H363" s="17">
        <v>791.55092592592587</v>
      </c>
      <c r="N363" s="16">
        <v>715.50925925925924</v>
      </c>
    </row>
    <row r="364" spans="1:14" ht="15.75" x14ac:dyDescent="0.25">
      <c r="A364" s="39">
        <v>42917</v>
      </c>
      <c r="B364" s="16">
        <v>785.73476702508958</v>
      </c>
      <c r="C364" s="16">
        <v>686.5152195340504</v>
      </c>
      <c r="D364" s="16">
        <v>154.77150537634409</v>
      </c>
      <c r="H364" s="17">
        <v>772.55824372759844</v>
      </c>
      <c r="N364" s="16">
        <v>728.62903225806451</v>
      </c>
    </row>
    <row r="365" spans="1:14" ht="15.75" x14ac:dyDescent="0.25">
      <c r="A365" s="39">
        <v>42948</v>
      </c>
      <c r="B365" s="16">
        <v>298.36469534050178</v>
      </c>
      <c r="C365" s="16">
        <v>692.69713261648747</v>
      </c>
      <c r="D365" s="16">
        <v>64.560931899641574</v>
      </c>
      <c r="H365" s="17">
        <v>776.09767025089616</v>
      </c>
      <c r="N365" s="16">
        <v>728.80824372759844</v>
      </c>
    </row>
    <row r="366" spans="1:14" ht="15.75" x14ac:dyDescent="0.25">
      <c r="A366" s="39">
        <v>42979</v>
      </c>
      <c r="B366" s="18"/>
      <c r="C366" s="18"/>
      <c r="D366" s="18"/>
      <c r="H366" s="19"/>
      <c r="N366" s="18"/>
    </row>
    <row r="367" spans="1:14" ht="15.75" x14ac:dyDescent="0.25">
      <c r="A367" s="39">
        <v>43009</v>
      </c>
      <c r="B367" s="18"/>
      <c r="C367" s="18"/>
      <c r="D367" s="18"/>
      <c r="H367" s="19"/>
      <c r="N367" s="18"/>
    </row>
    <row r="368" spans="1:14" ht="15.75" x14ac:dyDescent="0.25">
      <c r="A368" s="39">
        <v>43040</v>
      </c>
      <c r="B368" s="18"/>
      <c r="C368" s="18"/>
      <c r="D368" s="18"/>
      <c r="H368" s="19"/>
      <c r="N368" s="18"/>
    </row>
    <row r="369" spans="1:14" ht="15.75" x14ac:dyDescent="0.25">
      <c r="A369" s="39">
        <v>43070</v>
      </c>
      <c r="B369" s="18"/>
      <c r="C369" s="18"/>
      <c r="D369" s="18"/>
      <c r="H369" s="19"/>
      <c r="N369" s="18"/>
    </row>
    <row r="370" spans="1:14" ht="15.75" x14ac:dyDescent="0.25">
      <c r="A370" s="39">
        <v>43101</v>
      </c>
      <c r="B370" s="16">
        <v>666.24103942652334</v>
      </c>
      <c r="C370" s="16">
        <v>785.70793906809979</v>
      </c>
      <c r="D370" s="50">
        <v>2422.9614695340501</v>
      </c>
      <c r="H370" s="17">
        <v>802.50896057347677</v>
      </c>
      <c r="M370" s="16">
        <v>687.85842293906808</v>
      </c>
      <c r="N370" s="16">
        <v>748.45430107526886</v>
      </c>
    </row>
    <row r="371" spans="1:14" ht="15.75" x14ac:dyDescent="0.25">
      <c r="A371" s="39">
        <v>43132</v>
      </c>
      <c r="B371" s="16">
        <v>599.52941716269606</v>
      </c>
      <c r="C371" s="16">
        <v>788.4765128968254</v>
      </c>
      <c r="D371" s="16">
        <v>194.27083333333334</v>
      </c>
      <c r="H371" s="17">
        <v>796.23015873015879</v>
      </c>
      <c r="M371" s="16">
        <v>692.78273809523807</v>
      </c>
      <c r="N371" s="16">
        <v>748.05059523809518</v>
      </c>
    </row>
    <row r="372" spans="1:14" ht="15.75" x14ac:dyDescent="0.25">
      <c r="A372" s="39">
        <v>43160</v>
      </c>
      <c r="B372" s="16">
        <v>678.07196236559355</v>
      </c>
      <c r="C372" s="16">
        <v>780.75852150537719</v>
      </c>
      <c r="D372" s="16">
        <v>189.00089605734769</v>
      </c>
      <c r="H372" s="17">
        <v>788.03763440860223</v>
      </c>
      <c r="M372" s="16">
        <v>684.45340501792111</v>
      </c>
      <c r="N372" s="16">
        <v>750.34722222222217</v>
      </c>
    </row>
    <row r="373" spans="1:14" ht="15.75" x14ac:dyDescent="0.25">
      <c r="A373" s="39">
        <v>43191</v>
      </c>
      <c r="B373" s="16">
        <v>585.53240740740739</v>
      </c>
      <c r="C373" s="16">
        <v>779.84072685185129</v>
      </c>
      <c r="D373" s="16">
        <v>191.75925925925924</v>
      </c>
      <c r="H373" s="17">
        <v>782.31481481481478</v>
      </c>
      <c r="M373" s="16">
        <v>700.71759259259261</v>
      </c>
      <c r="N373" s="16">
        <v>739.12037037037032</v>
      </c>
    </row>
    <row r="374" spans="1:14" ht="15.75" x14ac:dyDescent="0.25">
      <c r="A374" s="39">
        <v>43221</v>
      </c>
      <c r="C374" s="16">
        <v>789.76925403225812</v>
      </c>
      <c r="D374" s="16">
        <v>180.5779569892473</v>
      </c>
      <c r="H374" s="17">
        <v>792.02508960573482</v>
      </c>
      <c r="M374" s="16">
        <v>693.48118279569894</v>
      </c>
      <c r="N374" s="16">
        <v>740.59363799283153</v>
      </c>
    </row>
    <row r="375" spans="1:14" ht="15.75" x14ac:dyDescent="0.25">
      <c r="A375" s="39">
        <v>43252</v>
      </c>
      <c r="C375" s="16">
        <v>792.14184027777776</v>
      </c>
      <c r="D375" s="16">
        <v>204.49074074074076</v>
      </c>
      <c r="H375" s="17">
        <v>790.99537037037032</v>
      </c>
      <c r="M375" s="16">
        <v>688.42592592592598</v>
      </c>
      <c r="N375" s="16">
        <v>741.04861111111109</v>
      </c>
    </row>
    <row r="376" spans="1:14" ht="15.75" x14ac:dyDescent="0.25">
      <c r="A376" s="39">
        <v>43282</v>
      </c>
      <c r="C376" s="16">
        <v>713.69004256272399</v>
      </c>
      <c r="H376" s="17">
        <v>779.56989247311833</v>
      </c>
      <c r="M376" s="16">
        <v>687.32078853046596</v>
      </c>
      <c r="N376" s="16">
        <v>722.63440860215053</v>
      </c>
    </row>
    <row r="377" spans="1:14" ht="15.75" x14ac:dyDescent="0.25">
      <c r="A377" s="39">
        <v>43313</v>
      </c>
      <c r="C377" s="16">
        <v>787.22082661290426</v>
      </c>
      <c r="H377" s="17">
        <v>782.10125448028668</v>
      </c>
      <c r="M377" s="16">
        <v>687.02956989247309</v>
      </c>
      <c r="N377" s="16">
        <v>731.02598566308245</v>
      </c>
    </row>
    <row r="378" spans="1:14" ht="15.75" x14ac:dyDescent="0.25">
      <c r="A378" s="39">
        <v>43344</v>
      </c>
      <c r="C378" s="16">
        <v>756.71238425925924</v>
      </c>
      <c r="H378" s="17">
        <v>683.84259259259261</v>
      </c>
      <c r="M378" s="16">
        <v>675.0462962962963</v>
      </c>
      <c r="N378" s="16">
        <v>723.95138888888891</v>
      </c>
    </row>
    <row r="379" spans="1:14" ht="15.75" x14ac:dyDescent="0.25">
      <c r="A379" s="39">
        <v>43374</v>
      </c>
      <c r="C379" s="16">
        <v>696.84170176223131</v>
      </c>
      <c r="H379" s="17">
        <v>789.31451612903231</v>
      </c>
      <c r="N379" s="16">
        <v>735.78405017921148</v>
      </c>
    </row>
    <row r="380" spans="1:14" ht="15.75" x14ac:dyDescent="0.25">
      <c r="A380" s="39">
        <v>43405</v>
      </c>
      <c r="C380" s="16">
        <v>776.1889938271737</v>
      </c>
      <c r="H380" s="17">
        <v>791.50462962962968</v>
      </c>
      <c r="N380" s="16">
        <v>706.87731481481489</v>
      </c>
    </row>
    <row r="381" spans="1:14" ht="15.75" x14ac:dyDescent="0.25">
      <c r="A381" s="39">
        <v>43435</v>
      </c>
      <c r="C381" s="16">
        <v>754.79218413978538</v>
      </c>
      <c r="H381" s="17">
        <v>792.04749103942663</v>
      </c>
      <c r="N381" s="16">
        <v>686.22311827956992</v>
      </c>
    </row>
    <row r="382" spans="1:14" ht="15.75" x14ac:dyDescent="0.25">
      <c r="A382" s="39">
        <v>43466</v>
      </c>
      <c r="C382" s="10">
        <v>801.0035618279569</v>
      </c>
      <c r="H382" s="6">
        <v>799.08154121863799</v>
      </c>
      <c r="N382" s="16">
        <v>748.2302867383512</v>
      </c>
    </row>
    <row r="383" spans="1:14" ht="15.75" x14ac:dyDescent="0.25">
      <c r="A383" s="39">
        <v>43497</v>
      </c>
      <c r="C383" s="10">
        <v>778.9766617063492</v>
      </c>
      <c r="H383" s="6">
        <v>799.80158730158735</v>
      </c>
      <c r="N383" s="16">
        <v>707.91170634920638</v>
      </c>
    </row>
    <row r="384" spans="1:14" ht="15.75" x14ac:dyDescent="0.25">
      <c r="A384" s="39">
        <v>43525</v>
      </c>
      <c r="C384" s="10">
        <v>786.66896057347617</v>
      </c>
      <c r="H384" s="6">
        <v>783.4677419354839</v>
      </c>
      <c r="N384" s="16">
        <v>703.62903225806451</v>
      </c>
    </row>
    <row r="385" spans="1:14" ht="15.75" x14ac:dyDescent="0.25">
      <c r="A385" s="39">
        <v>43556</v>
      </c>
      <c r="C385" s="10">
        <v>780.89506365740738</v>
      </c>
      <c r="H385" s="6">
        <v>785.81018518518522</v>
      </c>
      <c r="N385" s="16">
        <v>676.15740740740739</v>
      </c>
    </row>
    <row r="386" spans="1:14" ht="15.75" x14ac:dyDescent="0.25">
      <c r="A386" s="39">
        <v>43586</v>
      </c>
      <c r="B386" s="11">
        <v>639.77337813619988</v>
      </c>
      <c r="C386" s="10">
        <v>779.7349831989269</v>
      </c>
      <c r="H386" s="6">
        <v>784.61021505376334</v>
      </c>
      <c r="N386" s="16">
        <v>675.69444444444446</v>
      </c>
    </row>
    <row r="387" spans="1:14" ht="15.75" x14ac:dyDescent="0.25">
      <c r="A387" s="39">
        <v>43617</v>
      </c>
      <c r="B387" s="11">
        <v>594.07622983871056</v>
      </c>
      <c r="C387" s="10">
        <v>753.46343010752639</v>
      </c>
      <c r="H387" s="6">
        <v>757.43727598566318</v>
      </c>
      <c r="N387" s="16">
        <v>695.23148148148152</v>
      </c>
    </row>
    <row r="388" spans="1:14" ht="15.75" x14ac:dyDescent="0.25">
      <c r="A388" s="39">
        <v>43647</v>
      </c>
      <c r="B388" s="16">
        <v>609.99103942652323</v>
      </c>
      <c r="C388" s="20">
        <v>733.98210304659335</v>
      </c>
      <c r="H388" s="17">
        <v>781.76523297491042</v>
      </c>
      <c r="N388" s="16">
        <v>646.55017921146953</v>
      </c>
    </row>
    <row r="389" spans="1:14" ht="15.75" x14ac:dyDescent="0.25">
      <c r="A389" s="39">
        <v>43678</v>
      </c>
      <c r="B389" s="16">
        <v>609.99103942652323</v>
      </c>
      <c r="C389" s="20">
        <v>746.27333781362165</v>
      </c>
      <c r="H389" s="17">
        <v>781.89964157706095</v>
      </c>
      <c r="N389" s="16">
        <v>681.92204301075265</v>
      </c>
    </row>
    <row r="390" spans="1:14" ht="15.75" x14ac:dyDescent="0.25">
      <c r="A390" s="39">
        <v>43709</v>
      </c>
      <c r="B390" s="16">
        <v>610.71759259259261</v>
      </c>
      <c r="C390" s="16">
        <v>683.61111111111109</v>
      </c>
      <c r="H390" s="17">
        <v>780.81018518518522</v>
      </c>
    </row>
    <row r="391" spans="1:14" ht="15" customHeight="1" x14ac:dyDescent="0.25">
      <c r="A391" s="40">
        <v>43739</v>
      </c>
      <c r="B391" s="16">
        <v>708.25672267025141</v>
      </c>
      <c r="C391" s="16">
        <v>684.99103942652334</v>
      </c>
      <c r="H391" s="17">
        <v>782.52688172043008</v>
      </c>
    </row>
    <row r="392" spans="1:14" ht="15" customHeight="1" x14ac:dyDescent="0.25">
      <c r="A392" s="40">
        <v>43770</v>
      </c>
      <c r="B392" s="16">
        <v>632.59259259259261</v>
      </c>
      <c r="C392" s="16">
        <v>685</v>
      </c>
      <c r="H392" s="17">
        <v>782.36111111111109</v>
      </c>
    </row>
    <row r="393" spans="1:14" ht="15" customHeight="1" x14ac:dyDescent="0.25">
      <c r="A393" s="40">
        <v>43800</v>
      </c>
      <c r="B393" s="16">
        <v>632.5940860215054</v>
      </c>
      <c r="C393" s="16">
        <v>684.99103942652334</v>
      </c>
      <c r="H393" s="17">
        <v>786.33512544802863</v>
      </c>
    </row>
    <row r="394" spans="1:14" ht="15" customHeight="1" x14ac:dyDescent="0.25">
      <c r="A394" s="40">
        <v>43831</v>
      </c>
      <c r="B394" s="16">
        <v>632.5940860215054</v>
      </c>
      <c r="C394" s="16">
        <v>684.99103942652334</v>
      </c>
      <c r="H394" s="16">
        <v>789.78494623655911</v>
      </c>
    </row>
    <row r="395" spans="1:14" ht="15" customHeight="1" x14ac:dyDescent="0.25">
      <c r="A395" s="40">
        <v>43862</v>
      </c>
      <c r="B395" s="16">
        <v>632.59099616858236</v>
      </c>
      <c r="C395" s="16">
        <v>684.99103942652334</v>
      </c>
      <c r="H395" s="16">
        <v>790.82854406130275</v>
      </c>
    </row>
    <row r="396" spans="1:14" ht="15" customHeight="1" x14ac:dyDescent="0.25">
      <c r="A396" s="40">
        <v>43891</v>
      </c>
      <c r="B396" s="16">
        <v>632.5940860215054</v>
      </c>
      <c r="C396" s="16">
        <v>684.99103942652334</v>
      </c>
      <c r="H396" s="16">
        <v>799.01433691756279</v>
      </c>
    </row>
    <row r="397" spans="1:14" ht="15" customHeight="1" x14ac:dyDescent="0.25">
      <c r="A397" s="40">
        <v>43922</v>
      </c>
      <c r="B397" s="16">
        <v>632.59259259259261</v>
      </c>
      <c r="C397" s="16">
        <v>684.99103942652334</v>
      </c>
      <c r="H397" s="16">
        <v>801.41203703703695</v>
      </c>
    </row>
    <row r="398" spans="1:14" ht="15" customHeight="1" x14ac:dyDescent="0.25">
      <c r="A398" s="40">
        <v>43952</v>
      </c>
      <c r="B398" s="16">
        <v>632.5940860215054</v>
      </c>
      <c r="C398" s="16">
        <v>684.99103942652334</v>
      </c>
      <c r="H398" s="16">
        <v>795.45250896057337</v>
      </c>
    </row>
    <row r="399" spans="1:14" ht="15" customHeight="1" x14ac:dyDescent="0.25">
      <c r="A399" s="40">
        <v>43983</v>
      </c>
      <c r="B399" s="16">
        <v>632.59259259259261</v>
      </c>
      <c r="C399" s="16">
        <v>684.99103942652334</v>
      </c>
      <c r="H399" s="16">
        <v>788.33333333333337</v>
      </c>
    </row>
    <row r="400" spans="1:14" ht="15" customHeight="1" x14ac:dyDescent="0.25">
      <c r="A400" s="40">
        <v>44013</v>
      </c>
      <c r="B400" s="16">
        <v>632.5940860215054</v>
      </c>
      <c r="C400" s="16">
        <v>723.83512544802875</v>
      </c>
      <c r="H400" s="16">
        <v>781.85483870967744</v>
      </c>
    </row>
    <row r="401" spans="1:8" ht="15" customHeight="1" x14ac:dyDescent="0.25">
      <c r="A401" s="40">
        <v>44044</v>
      </c>
      <c r="B401" s="16">
        <v>632.5940860215054</v>
      </c>
      <c r="C401" s="16">
        <v>714.37878584229395</v>
      </c>
      <c r="H401" s="16">
        <v>781.25</v>
      </c>
    </row>
    <row r="402" spans="1:8" ht="15" customHeight="1" x14ac:dyDescent="0.25">
      <c r="A402" s="40">
        <v>44075</v>
      </c>
      <c r="B402" s="16">
        <v>632.59259259259261</v>
      </c>
      <c r="C402" s="16">
        <v>718.50597222222223</v>
      </c>
      <c r="H402" s="16">
        <v>784.4675925925925</v>
      </c>
    </row>
    <row r="403" spans="1:8" ht="15" customHeight="1" x14ac:dyDescent="0.25">
      <c r="A403" s="40">
        <v>44105</v>
      </c>
      <c r="B403" s="16">
        <v>632.5940860215054</v>
      </c>
      <c r="C403" s="16">
        <v>708.35483870967744</v>
      </c>
      <c r="H403" s="16">
        <v>782.45967741935488</v>
      </c>
    </row>
    <row r="404" spans="1:8" ht="15" customHeight="1" x14ac:dyDescent="0.25">
      <c r="A404" s="40">
        <v>44136</v>
      </c>
      <c r="B404" s="16">
        <v>429.95370370370375</v>
      </c>
      <c r="C404" s="16">
        <v>722.3655555555556</v>
      </c>
      <c r="H404" s="16">
        <v>784.60648148148141</v>
      </c>
    </row>
    <row r="405" spans="1:8" ht="15" customHeight="1" x14ac:dyDescent="0.25">
      <c r="A405" s="40">
        <v>44166</v>
      </c>
      <c r="B405" s="16">
        <v>745.97222222222206</v>
      </c>
      <c r="C405" s="16">
        <v>719.12564964157707</v>
      </c>
      <c r="H405" s="16">
        <v>791.28584229390674</v>
      </c>
    </row>
    <row r="406" spans="1:8" ht="15" customHeight="1" x14ac:dyDescent="0.25">
      <c r="A406" s="40">
        <v>44197</v>
      </c>
      <c r="B406" s="16">
        <v>628.30667562724011</v>
      </c>
      <c r="C406" s="48">
        <v>725</v>
      </c>
      <c r="H406" s="48">
        <v>801</v>
      </c>
    </row>
    <row r="407" spans="1:8" ht="15" customHeight="1" x14ac:dyDescent="0.25">
      <c r="A407" s="40">
        <v>44228</v>
      </c>
      <c r="B407" s="16">
        <v>624.53199404761904</v>
      </c>
      <c r="C407" s="48">
        <v>723</v>
      </c>
      <c r="H407" s="48">
        <v>800</v>
      </c>
    </row>
    <row r="408" spans="1:8" ht="15" customHeight="1" x14ac:dyDescent="0.25">
      <c r="A408" s="40">
        <v>44256</v>
      </c>
      <c r="B408" s="16">
        <v>632.00918458781359</v>
      </c>
      <c r="C408" s="48">
        <v>724</v>
      </c>
      <c r="H408" s="48">
        <v>800</v>
      </c>
    </row>
    <row r="409" spans="1:8" ht="15" customHeight="1" x14ac:dyDescent="0.25">
      <c r="A409" s="40">
        <v>44287</v>
      </c>
      <c r="B409" s="16">
        <v>647.7856481481482</v>
      </c>
      <c r="C409" s="48">
        <v>725.76666666666665</v>
      </c>
      <c r="H409" s="48">
        <v>776.33333333333337</v>
      </c>
    </row>
    <row r="410" spans="1:8" ht="15" customHeight="1" x14ac:dyDescent="0.25">
      <c r="A410" s="40">
        <v>44317</v>
      </c>
      <c r="B410" s="16">
        <v>642.24708781362006</v>
      </c>
      <c r="C410" s="48">
        <v>722</v>
      </c>
      <c r="H410" s="48">
        <v>800</v>
      </c>
    </row>
    <row r="411" spans="1:8" ht="15" customHeight="1" x14ac:dyDescent="0.25">
      <c r="A411" s="40">
        <v>44348</v>
      </c>
      <c r="C411" s="48">
        <v>723</v>
      </c>
      <c r="H411" s="48">
        <v>801</v>
      </c>
    </row>
    <row r="412" spans="1:8" ht="15" customHeight="1" x14ac:dyDescent="0.25">
      <c r="A412" s="40">
        <v>44378</v>
      </c>
      <c r="C412" s="48">
        <v>725</v>
      </c>
      <c r="H412" s="48">
        <v>800</v>
      </c>
    </row>
    <row r="413" spans="1:8" ht="15" customHeight="1" x14ac:dyDescent="0.25">
      <c r="A413" s="40">
        <v>44409</v>
      </c>
      <c r="C413" s="48">
        <v>772</v>
      </c>
      <c r="H413" s="47">
        <v>800</v>
      </c>
    </row>
    <row r="414" spans="1:8" x14ac:dyDescent="0.25">
      <c r="A414" s="40">
        <v>44440</v>
      </c>
      <c r="C414" s="47">
        <v>774</v>
      </c>
      <c r="H414" s="47">
        <v>800</v>
      </c>
    </row>
    <row r="415" spans="1:8" x14ac:dyDescent="0.25">
      <c r="A415" s="40">
        <v>44470</v>
      </c>
      <c r="C415" s="47">
        <v>774</v>
      </c>
      <c r="H415" s="47">
        <v>800</v>
      </c>
    </row>
    <row r="416" spans="1:8" x14ac:dyDescent="0.25">
      <c r="A416" s="40">
        <v>44501</v>
      </c>
      <c r="C416" s="47">
        <v>772</v>
      </c>
      <c r="H416" s="47">
        <v>799</v>
      </c>
    </row>
    <row r="417" spans="1:13" x14ac:dyDescent="0.25">
      <c r="A417" s="40">
        <v>44531</v>
      </c>
      <c r="C417" s="47">
        <v>775</v>
      </c>
      <c r="H417" s="47">
        <v>805</v>
      </c>
    </row>
    <row r="418" spans="1:13" x14ac:dyDescent="0.25">
      <c r="A418" s="40">
        <v>44562</v>
      </c>
      <c r="C418" s="47">
        <v>776</v>
      </c>
      <c r="H418" s="47">
        <v>801</v>
      </c>
    </row>
    <row r="419" spans="1:13" x14ac:dyDescent="0.25">
      <c r="A419" s="40">
        <v>44593</v>
      </c>
      <c r="C419" s="47">
        <v>777</v>
      </c>
      <c r="H419" s="47">
        <v>801</v>
      </c>
    </row>
    <row r="420" spans="1:13" x14ac:dyDescent="0.25">
      <c r="A420" s="40">
        <v>44621</v>
      </c>
      <c r="C420" s="47">
        <v>776</v>
      </c>
      <c r="H420" s="47">
        <v>802</v>
      </c>
    </row>
    <row r="421" spans="1:13" x14ac:dyDescent="0.25">
      <c r="A421" s="40">
        <v>44652</v>
      </c>
      <c r="C421" s="47">
        <v>774</v>
      </c>
      <c r="H421" s="47">
        <v>801</v>
      </c>
    </row>
    <row r="422" spans="1:13" x14ac:dyDescent="0.25">
      <c r="A422" s="40">
        <v>44682</v>
      </c>
      <c r="C422" s="47">
        <v>762</v>
      </c>
      <c r="H422" s="47">
        <v>801</v>
      </c>
      <c r="M422" s="47">
        <v>709</v>
      </c>
    </row>
    <row r="423" spans="1:13" x14ac:dyDescent="0.25">
      <c r="A423" s="40">
        <v>44713</v>
      </c>
      <c r="C423" s="47">
        <v>772</v>
      </c>
      <c r="H423" s="47">
        <v>800</v>
      </c>
      <c r="M423" s="47">
        <v>715</v>
      </c>
    </row>
    <row r="424" spans="1:13" x14ac:dyDescent="0.25">
      <c r="A424" s="40">
        <v>44743</v>
      </c>
      <c r="C424" s="47">
        <v>772</v>
      </c>
      <c r="H424" s="47">
        <v>803</v>
      </c>
      <c r="M424" s="47">
        <v>711</v>
      </c>
    </row>
    <row r="425" spans="1:13" x14ac:dyDescent="0.25">
      <c r="A425" s="40">
        <v>44774</v>
      </c>
      <c r="C425" s="47">
        <v>772</v>
      </c>
      <c r="H425" s="47">
        <v>802</v>
      </c>
      <c r="M425" s="47">
        <v>709</v>
      </c>
    </row>
    <row r="426" spans="1:13" ht="15.75" x14ac:dyDescent="0.25">
      <c r="A426" s="40">
        <v>44805</v>
      </c>
      <c r="C426" s="20">
        <v>689</v>
      </c>
      <c r="H426" s="47">
        <v>801</v>
      </c>
      <c r="M426" s="47">
        <v>705</v>
      </c>
    </row>
    <row r="427" spans="1:13" ht="15.75" x14ac:dyDescent="0.25">
      <c r="A427" s="40">
        <v>44835</v>
      </c>
      <c r="C427" s="20">
        <v>672</v>
      </c>
      <c r="H427" s="47">
        <v>801</v>
      </c>
      <c r="M427" s="47">
        <v>706</v>
      </c>
    </row>
    <row r="428" spans="1:13" ht="15.75" x14ac:dyDescent="0.25">
      <c r="A428" s="40">
        <v>44866</v>
      </c>
      <c r="C428" s="20">
        <v>672</v>
      </c>
      <c r="H428" s="47">
        <v>800</v>
      </c>
      <c r="M428" s="47">
        <v>704</v>
      </c>
    </row>
    <row r="429" spans="1:13" ht="15.75" x14ac:dyDescent="0.25">
      <c r="A429" s="40">
        <v>44896</v>
      </c>
      <c r="C429" s="20">
        <v>670</v>
      </c>
      <c r="H429" s="47">
        <v>800</v>
      </c>
      <c r="M429" s="34">
        <v>683</v>
      </c>
    </row>
    <row r="430" spans="1:13" ht="15.75" x14ac:dyDescent="0.25">
      <c r="A430" s="40">
        <v>44927</v>
      </c>
      <c r="C430" s="20">
        <v>668</v>
      </c>
      <c r="H430" s="47">
        <v>800</v>
      </c>
      <c r="M430" s="7">
        <v>684</v>
      </c>
    </row>
    <row r="431" spans="1:13" ht="15.75" x14ac:dyDescent="0.25">
      <c r="A431" s="40">
        <v>44958</v>
      </c>
      <c r="C431" s="47">
        <v>782</v>
      </c>
      <c r="H431" s="47">
        <v>803</v>
      </c>
      <c r="M431" s="7">
        <v>700</v>
      </c>
    </row>
    <row r="432" spans="1:13" ht="15.75" x14ac:dyDescent="0.25">
      <c r="A432" s="40">
        <v>44986</v>
      </c>
      <c r="C432" s="47">
        <v>790</v>
      </c>
      <c r="H432" s="47">
        <v>803</v>
      </c>
      <c r="M432" s="7">
        <v>696</v>
      </c>
    </row>
    <row r="433" spans="1:14" ht="15.75" x14ac:dyDescent="0.25">
      <c r="A433" s="40">
        <v>45017</v>
      </c>
      <c r="C433" s="47">
        <v>796</v>
      </c>
      <c r="H433" s="47">
        <v>800</v>
      </c>
      <c r="M433" s="7">
        <v>696</v>
      </c>
      <c r="N433" s="10">
        <f>28961000/30/1440</f>
        <v>670.39351851851848</v>
      </c>
    </row>
    <row r="434" spans="1:14" ht="15.75" x14ac:dyDescent="0.25">
      <c r="A434" s="40">
        <v>45047</v>
      </c>
      <c r="C434" s="47">
        <v>801</v>
      </c>
      <c r="H434" s="47">
        <v>799</v>
      </c>
      <c r="L434" s="35">
        <v>650</v>
      </c>
      <c r="N434" s="10">
        <v>651.59</v>
      </c>
    </row>
    <row r="435" spans="1:14" ht="15.75" x14ac:dyDescent="0.25">
      <c r="A435" s="40">
        <v>45078</v>
      </c>
      <c r="C435" s="20">
        <v>650</v>
      </c>
      <c r="H435" s="47">
        <v>821</v>
      </c>
      <c r="L435" s="7">
        <v>634</v>
      </c>
      <c r="N435" s="10">
        <f>28758000/31/1440</f>
        <v>644.22043010752691</v>
      </c>
    </row>
    <row r="436" spans="1:14" ht="15.75" x14ac:dyDescent="0.25">
      <c r="A436" s="40">
        <v>45108</v>
      </c>
      <c r="C436" s="20">
        <v>620</v>
      </c>
      <c r="H436" s="47">
        <v>784</v>
      </c>
      <c r="L436" s="7">
        <v>634</v>
      </c>
      <c r="N436" s="10">
        <f>22803000/31/1440</f>
        <v>510.81989247311827</v>
      </c>
    </row>
    <row r="437" spans="1:14" ht="15.75" x14ac:dyDescent="0.25">
      <c r="A437" s="40">
        <v>45139</v>
      </c>
      <c r="C437" s="20">
        <v>411</v>
      </c>
      <c r="H437" s="47">
        <v>809</v>
      </c>
      <c r="L437" s="10">
        <v>637.94000000000005</v>
      </c>
      <c r="N437" s="7">
        <v>682</v>
      </c>
    </row>
    <row r="438" spans="1:14" ht="15.75" x14ac:dyDescent="0.25">
      <c r="A438" s="40">
        <v>45170</v>
      </c>
      <c r="C438" s="20">
        <v>411</v>
      </c>
      <c r="H438" s="16">
        <v>806</v>
      </c>
      <c r="L438" s="10">
        <v>290.25</v>
      </c>
      <c r="N438" s="10">
        <f>30833000/30/1440</f>
        <v>713.72685185185185</v>
      </c>
    </row>
    <row r="439" spans="1:14" ht="15.75" x14ac:dyDescent="0.25">
      <c r="A439" s="40">
        <v>45200</v>
      </c>
      <c r="C439" s="20">
        <v>411</v>
      </c>
      <c r="H439" s="16">
        <v>811</v>
      </c>
      <c r="L439" s="10">
        <v>755.4</v>
      </c>
      <c r="N439" s="10">
        <f>36014000/31/1440</f>
        <v>806.76523297491042</v>
      </c>
    </row>
    <row r="440" spans="1:14" ht="15.75" x14ac:dyDescent="0.25">
      <c r="A440" s="40">
        <v>45231</v>
      </c>
      <c r="H440" s="16">
        <v>806</v>
      </c>
      <c r="L440" s="10">
        <v>647.21</v>
      </c>
      <c r="N440" s="10">
        <f>35578000/30/1440</f>
        <v>823.56481481481478</v>
      </c>
    </row>
    <row r="441" spans="1:14" ht="15.75" x14ac:dyDescent="0.25">
      <c r="A441" s="40">
        <v>45261</v>
      </c>
      <c r="H441" s="16"/>
      <c r="L441" s="7"/>
      <c r="N441" s="7"/>
    </row>
    <row r="442" spans="1:14" ht="15" customHeight="1" x14ac:dyDescent="0.25"/>
    <row r="443" spans="1:14" ht="15" customHeight="1" x14ac:dyDescent="0.25"/>
    <row r="444" spans="1:14" ht="15" customHeight="1" x14ac:dyDescent="0.25"/>
    <row r="445" spans="1:14" ht="15" customHeight="1" x14ac:dyDescent="0.25"/>
  </sheetData>
  <mergeCells count="3">
    <mergeCell ref="D1:F1"/>
    <mergeCell ref="G1:H1"/>
    <mergeCell ref="I1:N1"/>
  </mergeCells>
  <conditionalFormatting sqref="B216:B227">
    <cfRule type="cellIs" dxfId="34" priority="16" operator="greaterThan">
      <formula>700</formula>
    </cfRule>
  </conditionalFormatting>
  <conditionalFormatting sqref="B348:B373">
    <cfRule type="cellIs" dxfId="33" priority="17" operator="greaterThan">
      <formula>700</formula>
    </cfRule>
  </conditionalFormatting>
  <conditionalFormatting sqref="B386:B410">
    <cfRule type="cellIs" dxfId="32" priority="15" operator="greaterThan">
      <formula>700</formula>
    </cfRule>
  </conditionalFormatting>
  <conditionalFormatting sqref="B4:N11 B12:I12 K12:N12 B13:N78 B79:J79 L79:N79 B80:N94 B95:F95 H95:N95 B96:N218 B219:D219 F219:N219 B220:N325 B326:H326 J326:N326 B327:N369 B370:C370 E370:N370 B371:N405 I406:N421 B406:B425 D406:G425 I422:L428 N422:N428 B426:G430 I429:N437 B431:B434 D431:G434 B435:G437 B438:N441">
    <cfRule type="cellIs" dxfId="31" priority="1" operator="greaterThan">
      <formula>1000</formula>
    </cfRule>
  </conditionalFormatting>
  <conditionalFormatting sqref="C112:C131">
    <cfRule type="cellIs" dxfId="30" priority="23" operator="greaterThan">
      <formula>700</formula>
    </cfRule>
  </conditionalFormatting>
  <conditionalFormatting sqref="C338:C405 C426:C430 C435:C439">
    <cfRule type="cellIs" dxfId="29" priority="20" operator="greaterThan">
      <formula>700</formula>
    </cfRule>
  </conditionalFormatting>
  <conditionalFormatting sqref="D361:D369 D371:D375">
    <cfRule type="cellIs" dxfId="28" priority="24" operator="greaterThan">
      <formula>700</formula>
    </cfRule>
  </conditionalFormatting>
  <conditionalFormatting sqref="E214:E218 E220:E224">
    <cfRule type="cellIs" dxfId="27" priority="25" operator="greaterThan">
      <formula>700</formula>
    </cfRule>
  </conditionalFormatting>
  <conditionalFormatting sqref="F74:F84">
    <cfRule type="cellIs" dxfId="26" priority="26" operator="greaterThan">
      <formula>700</formula>
    </cfRule>
  </conditionalFormatting>
  <conditionalFormatting sqref="G90:G94 G96:G100">
    <cfRule type="cellIs" dxfId="25" priority="30" operator="greaterThan">
      <formula>700</formula>
    </cfRule>
  </conditionalFormatting>
  <conditionalFormatting sqref="H45:H96">
    <cfRule type="cellIs" dxfId="24" priority="35" operator="greaterThan">
      <formula>700</formula>
    </cfRule>
  </conditionalFormatting>
  <conditionalFormatting sqref="H107:H136">
    <cfRule type="cellIs" dxfId="23" priority="39" operator="greaterThan">
      <formula>700</formula>
    </cfRule>
  </conditionalFormatting>
  <conditionalFormatting sqref="H214:H241">
    <cfRule type="cellIs" dxfId="22" priority="34" operator="greaterThan">
      <formula>700</formula>
    </cfRule>
  </conditionalFormatting>
  <conditionalFormatting sqref="H246:H257">
    <cfRule type="cellIs" dxfId="21" priority="33" operator="greaterThan">
      <formula>700</formula>
    </cfRule>
  </conditionalFormatting>
  <conditionalFormatting sqref="H262:H279">
    <cfRule type="cellIs" dxfId="20" priority="32" operator="greaterThan">
      <formula>700</formula>
    </cfRule>
  </conditionalFormatting>
  <conditionalFormatting sqref="H329:H405 H438:H441">
    <cfRule type="cellIs" dxfId="19" priority="31" operator="greaterThan">
      <formula>700</formula>
    </cfRule>
  </conditionalFormatting>
  <conditionalFormatting sqref="I322:I325 I327:I331">
    <cfRule type="cellIs" dxfId="18" priority="14" operator="greaterThan">
      <formula>700</formula>
    </cfRule>
  </conditionalFormatting>
  <conditionalFormatting sqref="J6:J11 J13:J17">
    <cfRule type="cellIs" dxfId="17" priority="11" operator="greaterThan">
      <formula>700</formula>
    </cfRule>
  </conditionalFormatting>
  <conditionalFormatting sqref="K73:K78 K80:K84">
    <cfRule type="cellIs" dxfId="16" priority="9" operator="greaterThan">
      <formula>700</formula>
    </cfRule>
  </conditionalFormatting>
  <conditionalFormatting sqref="L325:L335">
    <cfRule type="cellIs" dxfId="15" priority="8" operator="greaterThan">
      <formula>700</formula>
    </cfRule>
  </conditionalFormatting>
  <conditionalFormatting sqref="L434:L441">
    <cfRule type="cellIs" dxfId="14" priority="7" operator="greaterThan">
      <formula>700</formula>
    </cfRule>
  </conditionalFormatting>
  <conditionalFormatting sqref="M331:M356">
    <cfRule type="cellIs" dxfId="13" priority="6" operator="greaterThan">
      <formula>700</formula>
    </cfRule>
  </conditionalFormatting>
  <conditionalFormatting sqref="M370:M378">
    <cfRule type="cellIs" dxfId="12" priority="5" operator="greaterThan">
      <formula>700</formula>
    </cfRule>
  </conditionalFormatting>
  <conditionalFormatting sqref="M429:M433">
    <cfRule type="cellIs" dxfId="11" priority="4" operator="greaterThan">
      <formula>700</formula>
    </cfRule>
  </conditionalFormatting>
  <conditionalFormatting sqref="N357:N389">
    <cfRule type="cellIs" dxfId="10" priority="3" operator="greaterThan">
      <formula>700</formula>
    </cfRule>
  </conditionalFormatting>
  <conditionalFormatting sqref="N433:N441">
    <cfRule type="cellIs" dxfId="9" priority="2" operator="greaterThan">
      <formula>700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614CA-DB20-4C55-807D-69254AD08D7C}">
  <dimension ref="A1:D7"/>
  <sheetViews>
    <sheetView workbookViewId="0">
      <selection activeCell="B5" sqref="B5"/>
    </sheetView>
  </sheetViews>
  <sheetFormatPr defaultRowHeight="15" x14ac:dyDescent="0.25"/>
  <cols>
    <col min="1" max="1" width="10" bestFit="1" customWidth="1"/>
    <col min="3" max="3" width="15.5703125" bestFit="1" customWidth="1"/>
    <col min="4" max="4" width="58.7109375" bestFit="1" customWidth="1"/>
  </cols>
  <sheetData>
    <row r="1" spans="1:4" x14ac:dyDescent="0.25">
      <c r="A1" t="s">
        <v>25</v>
      </c>
      <c r="B1" t="s">
        <v>26</v>
      </c>
      <c r="C1" t="s">
        <v>27</v>
      </c>
      <c r="D1" t="s">
        <v>28</v>
      </c>
    </row>
    <row r="2" spans="1:4" ht="15.75" x14ac:dyDescent="0.25">
      <c r="A2" s="39">
        <v>41760</v>
      </c>
      <c r="B2" s="24" t="s">
        <v>15</v>
      </c>
      <c r="C2" s="52">
        <f>7835</f>
        <v>7835</v>
      </c>
      <c r="D2" t="s">
        <v>29</v>
      </c>
    </row>
    <row r="3" spans="1:4" ht="15.75" x14ac:dyDescent="0.25">
      <c r="A3" s="39">
        <v>32203</v>
      </c>
      <c r="B3" s="24" t="s">
        <v>16</v>
      </c>
      <c r="C3" s="52">
        <v>734.7670250896058</v>
      </c>
      <c r="D3" t="s">
        <v>29</v>
      </c>
    </row>
    <row r="4" spans="1:4" ht="15.75" x14ac:dyDescent="0.25">
      <c r="A4" s="39">
        <v>34243</v>
      </c>
      <c r="B4" s="24" t="s">
        <v>18</v>
      </c>
      <c r="C4" s="52">
        <v>923.20788530465938</v>
      </c>
      <c r="D4" t="s">
        <v>29</v>
      </c>
    </row>
    <row r="5" spans="1:4" ht="15.75" x14ac:dyDescent="0.25">
      <c r="A5" s="39">
        <v>34731</v>
      </c>
      <c r="B5" s="2" t="s">
        <v>13</v>
      </c>
      <c r="C5" s="52">
        <v>754.9355158730159</v>
      </c>
      <c r="D5" t="s">
        <v>29</v>
      </c>
    </row>
    <row r="6" spans="1:4" ht="15.75" x14ac:dyDescent="0.25">
      <c r="A6" s="39">
        <v>38504</v>
      </c>
      <c r="B6" s="1" t="s">
        <v>9</v>
      </c>
      <c r="C6" s="52">
        <v>883.33333333333326</v>
      </c>
      <c r="D6" t="s">
        <v>29</v>
      </c>
    </row>
    <row r="7" spans="1:4" ht="15.75" x14ac:dyDescent="0.25">
      <c r="A7" s="39">
        <v>43101</v>
      </c>
      <c r="B7" s="1" t="s">
        <v>8</v>
      </c>
      <c r="C7" s="52">
        <v>2422.9614695340501</v>
      </c>
      <c r="D7" t="s">
        <v>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43A27-6318-4117-A988-2475AE9AAEE8}">
  <dimension ref="A1:M644"/>
  <sheetViews>
    <sheetView zoomScale="70" zoomScaleNormal="70" zoomScaleSheetLayoutView="70" workbookViewId="0">
      <selection activeCell="G40" sqref="G40"/>
    </sheetView>
  </sheetViews>
  <sheetFormatPr defaultRowHeight="15.75" x14ac:dyDescent="0.25"/>
  <cols>
    <col min="1" max="1" width="12.140625" style="65" customWidth="1"/>
    <col min="2" max="2" width="12.28515625" style="7" customWidth="1"/>
    <col min="3" max="3" width="12.28515625" style="10" customWidth="1"/>
    <col min="5" max="5" width="13.7109375" bestFit="1" customWidth="1"/>
    <col min="7" max="7" width="13.7109375" bestFit="1" customWidth="1"/>
    <col min="9" max="9" width="13.7109375" bestFit="1" customWidth="1"/>
    <col min="11" max="11" width="13.7109375" bestFit="1" customWidth="1"/>
    <col min="13" max="13" width="13.7109375" bestFit="1" customWidth="1"/>
  </cols>
  <sheetData>
    <row r="1" spans="1:13" x14ac:dyDescent="0.25">
      <c r="A1" s="53"/>
      <c r="B1"/>
      <c r="C1"/>
    </row>
    <row r="2" spans="1:13" x14ac:dyDescent="0.25">
      <c r="A2" s="54" t="s">
        <v>5</v>
      </c>
      <c r="B2" s="114" t="s">
        <v>15</v>
      </c>
      <c r="C2" s="114"/>
      <c r="D2" s="114" t="s">
        <v>16</v>
      </c>
      <c r="E2" s="114"/>
      <c r="F2" s="114" t="s">
        <v>18</v>
      </c>
      <c r="G2" s="114"/>
      <c r="H2" s="109" t="s">
        <v>13</v>
      </c>
      <c r="I2" s="109"/>
      <c r="J2" s="108" t="s">
        <v>8</v>
      </c>
      <c r="K2" s="108"/>
      <c r="L2" s="108" t="s">
        <v>9</v>
      </c>
      <c r="M2" s="108"/>
    </row>
    <row r="3" spans="1:13" x14ac:dyDescent="0.25">
      <c r="A3" s="54" t="s">
        <v>31</v>
      </c>
      <c r="B3" s="24">
        <v>13.538405790000001</v>
      </c>
      <c r="C3" s="24">
        <v>144.85252829999999</v>
      </c>
      <c r="D3" s="24">
        <v>13.541236189999999</v>
      </c>
      <c r="E3" s="24">
        <v>144.85065639999999</v>
      </c>
      <c r="F3" s="24">
        <v>13.499880429999999</v>
      </c>
      <c r="G3" s="24">
        <v>144.84358420000001</v>
      </c>
      <c r="H3" s="2">
        <v>13.45682352</v>
      </c>
      <c r="I3" s="2">
        <v>144.80016660000001</v>
      </c>
      <c r="J3" s="85">
        <v>13.578199570000001</v>
      </c>
      <c r="K3" s="1">
        <v>144.8532319</v>
      </c>
      <c r="L3" s="85">
        <v>13.580759779999999</v>
      </c>
      <c r="M3" s="1">
        <v>144.8552669</v>
      </c>
    </row>
    <row r="4" spans="1:13" ht="63" x14ac:dyDescent="0.25">
      <c r="A4" s="55"/>
      <c r="B4" s="30" t="s">
        <v>22</v>
      </c>
      <c r="C4" s="31" t="s">
        <v>23</v>
      </c>
      <c r="D4" s="30" t="s">
        <v>22</v>
      </c>
      <c r="E4" s="31" t="s">
        <v>23</v>
      </c>
      <c r="F4" s="30" t="s">
        <v>22</v>
      </c>
      <c r="G4" s="31" t="s">
        <v>23</v>
      </c>
      <c r="H4" s="28" t="s">
        <v>22</v>
      </c>
      <c r="I4" s="29" t="s">
        <v>23</v>
      </c>
      <c r="J4" s="86" t="s">
        <v>22</v>
      </c>
      <c r="K4" s="4" t="s">
        <v>23</v>
      </c>
      <c r="L4" s="86" t="s">
        <v>22</v>
      </c>
      <c r="M4" s="4" t="s">
        <v>23</v>
      </c>
    </row>
    <row r="5" spans="1:13" x14ac:dyDescent="0.25">
      <c r="A5" s="56" t="s">
        <v>32</v>
      </c>
      <c r="B5" s="57" t="e">
        <f t="shared" ref="B5:G5" si="0">SLOPE(B21:B913,$A21:$A913)</f>
        <v>#DIV/0!</v>
      </c>
      <c r="C5" s="57" t="e">
        <f t="shared" si="0"/>
        <v>#DIV/0!</v>
      </c>
      <c r="D5" s="57" t="e">
        <f t="shared" si="0"/>
        <v>#DIV/0!</v>
      </c>
      <c r="E5" s="57" t="e">
        <f t="shared" si="0"/>
        <v>#DIV/0!</v>
      </c>
      <c r="F5" s="57" t="e">
        <f t="shared" si="0"/>
        <v>#DIV/0!</v>
      </c>
      <c r="G5" s="57" t="e">
        <f t="shared" si="0"/>
        <v>#DIV/0!</v>
      </c>
      <c r="H5" s="81" t="e">
        <f t="shared" ref="H5:I5" si="1">SLOPE(H21:H916,$A21:$A916)</f>
        <v>#DIV/0!</v>
      </c>
      <c r="I5" s="81">
        <f t="shared" si="1"/>
        <v>-9.0195402135366295E-2</v>
      </c>
      <c r="J5" s="87" t="e">
        <f t="shared" ref="J5:M5" si="2">SLOPE(J21:J913,$A21:$A913)</f>
        <v>#DIV/0!</v>
      </c>
      <c r="K5" s="88" t="e">
        <f t="shared" si="2"/>
        <v>#DIV/0!</v>
      </c>
      <c r="L5" s="87" t="e">
        <f t="shared" si="2"/>
        <v>#DIV/0!</v>
      </c>
      <c r="M5" s="88" t="e">
        <f t="shared" si="2"/>
        <v>#DIV/0!</v>
      </c>
    </row>
    <row r="6" spans="1:13" x14ac:dyDescent="0.25">
      <c r="A6" s="56" t="s">
        <v>33</v>
      </c>
      <c r="B6" s="57" t="e">
        <f t="shared" ref="B6:G6" si="3">INTERCEPT(B21:B1012,$A21:$A1012)</f>
        <v>#DIV/0!</v>
      </c>
      <c r="C6" s="57" t="e">
        <f t="shared" si="3"/>
        <v>#DIV/0!</v>
      </c>
      <c r="D6" s="57" t="e">
        <f t="shared" si="3"/>
        <v>#DIV/0!</v>
      </c>
      <c r="E6" s="57" t="e">
        <f t="shared" si="3"/>
        <v>#DIV/0!</v>
      </c>
      <c r="F6" s="57" t="e">
        <f t="shared" si="3"/>
        <v>#DIV/0!</v>
      </c>
      <c r="G6" s="57" t="e">
        <f t="shared" si="3"/>
        <v>#DIV/0!</v>
      </c>
      <c r="H6" s="81" t="e">
        <f t="shared" ref="H6:I6" si="4">INTERCEPT(H21:H1015,$A21:$A1015)</f>
        <v>#DIV/0!</v>
      </c>
      <c r="I6" s="81">
        <f t="shared" si="4"/>
        <v>3887.5120274364226</v>
      </c>
      <c r="J6" s="87" t="e">
        <f t="shared" ref="J6:M6" si="5">INTERCEPT(J21:J1012,$A21:$A1012)</f>
        <v>#DIV/0!</v>
      </c>
      <c r="K6" s="88" t="e">
        <f t="shared" si="5"/>
        <v>#DIV/0!</v>
      </c>
      <c r="L6" s="87" t="e">
        <f t="shared" si="5"/>
        <v>#DIV/0!</v>
      </c>
      <c r="M6" s="88" t="e">
        <f t="shared" si="5"/>
        <v>#DIV/0!</v>
      </c>
    </row>
    <row r="7" spans="1:13" x14ac:dyDescent="0.25">
      <c r="A7" s="58">
        <v>40330</v>
      </c>
      <c r="B7" s="57" t="str">
        <f>IF(COUNT(B465:B476)=0,"",AVERAGE(B465:B476))</f>
        <v/>
      </c>
      <c r="C7" s="57" t="str">
        <f>IF(SUM(C465:C476)=0,"",SUM(C465:C476))</f>
        <v/>
      </c>
      <c r="D7" s="57" t="str">
        <f>IF(COUNT(D465:D476)=0,"",AVERAGE(D465:D476))</f>
        <v/>
      </c>
      <c r="E7" s="57" t="str">
        <f>IF(SUM(E465:E476)=0,"",SUM(E465:E476))</f>
        <v/>
      </c>
      <c r="F7" s="57" t="str">
        <f>IF(COUNT(F465:F476)=0,"",AVERAGE(F465:F476))</f>
        <v/>
      </c>
      <c r="G7" s="57" t="str">
        <f>IF(SUM(G465:G476)=0,"",SUM(G465:G476))</f>
        <v/>
      </c>
      <c r="H7" s="81" t="str">
        <f>IF(COUNT(H465:H476)=0,"",AVERAGE(H465:H476))</f>
        <v/>
      </c>
      <c r="I7" s="81" t="str">
        <f>IF(SUM(I465:I476)=0,"",SUM(I465:I476))</f>
        <v/>
      </c>
      <c r="J7" s="87" t="str">
        <f>IF(COUNT(J465:J476)=0,"",AVERAGE(J465:J476))</f>
        <v/>
      </c>
      <c r="K7" s="88" t="str">
        <f>IF(SUM(K465:K476)=0,"",SUM(K465:K476))</f>
        <v/>
      </c>
      <c r="L7" s="87" t="str">
        <f>IF(COUNT(L465:L476)=0,"",AVERAGE(L465:L476))</f>
        <v/>
      </c>
      <c r="M7" s="88" t="str">
        <f>IF(SUM(M465:M476)=0,"",SUM(M465:M476))</f>
        <v/>
      </c>
    </row>
    <row r="8" spans="1:13" x14ac:dyDescent="0.25">
      <c r="A8" s="58">
        <v>40695</v>
      </c>
      <c r="B8" s="57" t="str">
        <f>IF(COUNT(B477:B488)=0,"",AVERAGE(B477:B488))</f>
        <v/>
      </c>
      <c r="C8" s="57" t="str">
        <f>IF(SUM(C477:C488)=0,"",SUM(C477:C488))</f>
        <v/>
      </c>
      <c r="D8" s="57" t="str">
        <f>IF(COUNT(D477:D488)=0,"",AVERAGE(D477:D488))</f>
        <v/>
      </c>
      <c r="E8" s="57" t="str">
        <f>IF(SUM(E477:E488)=0,"",SUM(E477:E488))</f>
        <v/>
      </c>
      <c r="F8" s="57" t="str">
        <f>IF(COUNT(F477:F488)=0,"",AVERAGE(F477:F488))</f>
        <v/>
      </c>
      <c r="G8" s="57" t="str">
        <f>IF(SUM(G477:G488)=0,"",SUM(G477:G488))</f>
        <v/>
      </c>
      <c r="H8" s="81" t="str">
        <f>IF(COUNT(H477:H488)=0,"",AVERAGE(H477:H488))</f>
        <v/>
      </c>
      <c r="I8" s="81" t="str">
        <f>IF(SUM(I477:I488)=0,"",SUM(I477:I488))</f>
        <v/>
      </c>
      <c r="J8" s="87" t="str">
        <f>IF(COUNT(J477:J488)=0,"",AVERAGE(J477:J488))</f>
        <v/>
      </c>
      <c r="K8" s="88" t="str">
        <f>IF(SUM(K477:K488)=0,"",SUM(K477:K488))</f>
        <v/>
      </c>
      <c r="L8" s="87" t="str">
        <f>IF(COUNT(L477:L488)=0,"",AVERAGE(L477:L488))</f>
        <v/>
      </c>
      <c r="M8" s="88" t="str">
        <f>IF(SUM(M477:M488)=0,"",SUM(M477:M488))</f>
        <v/>
      </c>
    </row>
    <row r="9" spans="1:13" x14ac:dyDescent="0.25">
      <c r="A9" s="58">
        <v>41061</v>
      </c>
      <c r="B9" s="57" t="str">
        <f>IF(COUNT(B489:B500)=0,"",AVERAGE(B489:B500))</f>
        <v/>
      </c>
      <c r="C9" s="57" t="str">
        <f>IF(SUM(C489:C500)=0,"",SUM(C489:C500))</f>
        <v/>
      </c>
      <c r="D9" s="57" t="str">
        <f>IF(COUNT(D489:D500)=0,"",AVERAGE(D489:D500))</f>
        <v/>
      </c>
      <c r="E9" s="57" t="str">
        <f>IF(SUM(E489:E500)=0,"",SUM(E489:E500))</f>
        <v/>
      </c>
      <c r="F9" s="57" t="str">
        <f>IF(COUNT(F489:F500)=0,"",AVERAGE(F489:F500))</f>
        <v/>
      </c>
      <c r="G9" s="57" t="str">
        <f>IF(SUM(G489:G500)=0,"",SUM(G489:G500))</f>
        <v/>
      </c>
      <c r="H9" s="81" t="str">
        <f>IF(COUNT(H489:H500)=0,"",AVERAGE(H489:H500))</f>
        <v/>
      </c>
      <c r="I9" s="81" t="str">
        <f>IF(SUM(I489:I500)=0,"",SUM(I489:I500))</f>
        <v/>
      </c>
      <c r="J9" s="87" t="str">
        <f>IF(COUNT(J489:J500)=0,"",AVERAGE(J489:J500))</f>
        <v/>
      </c>
      <c r="K9" s="88" t="str">
        <f>IF(SUM(K489:K500)=0,"",SUM(K489:K500))</f>
        <v/>
      </c>
      <c r="L9" s="87" t="str">
        <f>IF(COUNT(L489:L500)=0,"",AVERAGE(L489:L500))</f>
        <v/>
      </c>
      <c r="M9" s="88" t="str">
        <f>IF(SUM(M489:M500)=0,"",SUM(M489:M500))</f>
        <v/>
      </c>
    </row>
    <row r="10" spans="1:13" x14ac:dyDescent="0.25">
      <c r="A10" s="60">
        <v>41426</v>
      </c>
      <c r="B10" s="57" t="str">
        <f>IF(COUNT(B501:B512)=0,"",AVERAGE(B501:B512))</f>
        <v/>
      </c>
      <c r="C10" s="57" t="str">
        <f>IF(SUM(C501:C512)=0,"",SUM(C501:C512))</f>
        <v/>
      </c>
      <c r="D10" s="57" t="str">
        <f>IF(COUNT(D501:D512)=0,"",AVERAGE(D501:D512))</f>
        <v/>
      </c>
      <c r="E10" s="57" t="str">
        <f>IF(SUM(E501:E512)=0,"",SUM(E501:E512))</f>
        <v/>
      </c>
      <c r="F10" s="57" t="str">
        <f>IF(COUNT(F501:F512)=0,"",AVERAGE(F501:F512))</f>
        <v/>
      </c>
      <c r="G10" s="57" t="str">
        <f>IF(SUM(G501:G512)=0,"",SUM(G501:G512))</f>
        <v/>
      </c>
      <c r="H10" s="81" t="str">
        <f>IF(COUNT(H501:H512)=0,"",AVERAGE(H501:H512))</f>
        <v/>
      </c>
      <c r="I10" s="81" t="str">
        <f>IF(SUM(I501:I512)=0,"",SUM(I501:I512))</f>
        <v/>
      </c>
      <c r="J10" s="87" t="str">
        <f>IF(COUNT(J501:J512)=0,"",AVERAGE(J501:J512))</f>
        <v/>
      </c>
      <c r="K10" s="88" t="str">
        <f>IF(SUM(K501:K512)=0,"",SUM(K501:K512))</f>
        <v/>
      </c>
      <c r="L10" s="87" t="str">
        <f>IF(COUNT(L501:L512)=0,"",AVERAGE(L501:L512))</f>
        <v/>
      </c>
      <c r="M10" s="88" t="str">
        <f>IF(SUM(M501:M512)=0,"",SUM(M501:M512))</f>
        <v/>
      </c>
    </row>
    <row r="11" spans="1:13" x14ac:dyDescent="0.25">
      <c r="A11" s="58">
        <v>41791</v>
      </c>
      <c r="B11" s="57" t="str">
        <f>IF(COUNT(B513:B524)=0,"",AVERAGE(B513:B524))</f>
        <v/>
      </c>
      <c r="C11" s="57">
        <f>IF(SUM(C513:C524)=0,"",SUM(C513:C524))</f>
        <v>7835</v>
      </c>
      <c r="D11" s="57" t="str">
        <f>IF(COUNT(D513:D524)=0,"",AVERAGE(D513:D524))</f>
        <v/>
      </c>
      <c r="E11" s="57" t="str">
        <f>IF(SUM(E513:E524)=0,"",SUM(E513:E524))</f>
        <v/>
      </c>
      <c r="F11" s="57" t="str">
        <f>IF(COUNT(F513:F524)=0,"",AVERAGE(F513:F524))</f>
        <v/>
      </c>
      <c r="G11" s="57" t="str">
        <f>IF(SUM(G513:G524)=0,"",SUM(G513:G524))</f>
        <v/>
      </c>
      <c r="H11" s="81" t="str">
        <f>IF(COUNT(H513:H524)=0,"",AVERAGE(H513:H524))</f>
        <v/>
      </c>
      <c r="I11" s="81" t="str">
        <f>IF(SUM(I513:I524)=0,"",SUM(I513:I524))</f>
        <v/>
      </c>
      <c r="J11" s="87" t="str">
        <f>IF(COUNT(J513:J524)=0,"",AVERAGE(J513:J524))</f>
        <v/>
      </c>
      <c r="K11" s="88" t="str">
        <f>IF(SUM(K513:K524)=0,"",SUM(K513:K524))</f>
        <v/>
      </c>
      <c r="L11" s="87" t="str">
        <f>IF(COUNT(L513:L524)=0,"",AVERAGE(L513:L524))</f>
        <v/>
      </c>
      <c r="M11" s="88" t="str">
        <f>IF(SUM(M513:M524)=0,"",SUM(M513:M524))</f>
        <v/>
      </c>
    </row>
    <row r="12" spans="1:13" x14ac:dyDescent="0.25">
      <c r="A12" s="58">
        <v>42156</v>
      </c>
      <c r="B12" s="57" t="str">
        <f>IF(COUNT(B525:B536)=0,"",AVERAGE(B525:B536))</f>
        <v/>
      </c>
      <c r="C12" s="57" t="str">
        <f>IF(SUM(C525:C536)=0,"",SUM(C525:C536))</f>
        <v/>
      </c>
      <c r="D12" s="57" t="str">
        <f>IF(COUNT(D525:D536)=0,"",AVERAGE(D525:D536))</f>
        <v/>
      </c>
      <c r="E12" s="57" t="str">
        <f>IF(SUM(E525:E536)=0,"",SUM(E525:E536))</f>
        <v/>
      </c>
      <c r="F12" s="57" t="str">
        <f>IF(COUNT(F525:F536)=0,"",AVERAGE(F525:F536))</f>
        <v/>
      </c>
      <c r="G12" s="57" t="str">
        <f>IF(SUM(G525:G536)=0,"",SUM(G525:G536))</f>
        <v/>
      </c>
      <c r="H12" s="81" t="str">
        <f>IF(COUNT(H525:H536)=0,"",AVERAGE(H525:H536))</f>
        <v/>
      </c>
      <c r="I12" s="81" t="str">
        <f>IF(SUM(I525:I536)=0,"",SUM(I525:I536))</f>
        <v/>
      </c>
      <c r="J12" s="87" t="str">
        <f>IF(COUNT(J525:J536)=0,"",AVERAGE(J525:J536))</f>
        <v/>
      </c>
      <c r="K12" s="88" t="str">
        <f>IF(SUM(K525:K536)=0,"",SUM(K525:K536))</f>
        <v/>
      </c>
      <c r="L12" s="87" t="str">
        <f>IF(COUNT(L525:L536)=0,"",AVERAGE(L525:L536))</f>
        <v/>
      </c>
      <c r="M12" s="88" t="str">
        <f>IF(SUM(M525:M536)=0,"",SUM(M525:M536))</f>
        <v/>
      </c>
    </row>
    <row r="13" spans="1:13" x14ac:dyDescent="0.25">
      <c r="A13" s="58">
        <v>42522</v>
      </c>
      <c r="B13" s="57" t="str">
        <f>IF(COUNT(B537:B548)=0,"",AVERAGE(B537:B548))</f>
        <v/>
      </c>
      <c r="C13" s="57" t="str">
        <f>IF(SUM(C537:C548)=0,"",SUM(C537:C548))</f>
        <v/>
      </c>
      <c r="D13" s="57" t="str">
        <f>IF(COUNT(D537:D548)=0,"",AVERAGE(D537:D548))</f>
        <v/>
      </c>
      <c r="E13" s="57" t="str">
        <f>IF(SUM(E537:E548)=0,"",SUM(E537:E548))</f>
        <v/>
      </c>
      <c r="F13" s="57" t="str">
        <f>IF(COUNT(F537:F548)=0,"",AVERAGE(F537:F548))</f>
        <v/>
      </c>
      <c r="G13" s="57" t="str">
        <f>IF(SUM(G537:G548)=0,"",SUM(G537:G548))</f>
        <v/>
      </c>
      <c r="H13" s="81" t="str">
        <f>IF(COUNT(H537:H548)=0,"",AVERAGE(H537:H548))</f>
        <v/>
      </c>
      <c r="I13" s="81" t="str">
        <f>IF(SUM(I537:I548)=0,"",SUM(I537:I548))</f>
        <v/>
      </c>
      <c r="J13" s="87" t="str">
        <f>IF(COUNT(J537:J548)=0,"",AVERAGE(J537:J548))</f>
        <v/>
      </c>
      <c r="K13" s="88" t="str">
        <f>IF(SUM(K537:K548)=0,"",SUM(K537:K548))</f>
        <v/>
      </c>
      <c r="L13" s="87" t="str">
        <f>IF(COUNT(L537:L548)=0,"",AVERAGE(L537:L548))</f>
        <v/>
      </c>
      <c r="M13" s="88" t="str">
        <f>IF(SUM(M537:M548)=0,"",SUM(M537:M548))</f>
        <v/>
      </c>
    </row>
    <row r="14" spans="1:13" x14ac:dyDescent="0.25">
      <c r="A14" s="58">
        <v>42887</v>
      </c>
      <c r="B14" s="57" t="str">
        <f>IF(COUNT(B549:B560)=0,"",AVERAGE(B549:B560))</f>
        <v/>
      </c>
      <c r="C14" s="57" t="str">
        <f>IF(SUM(C549:C560)=0,"",SUM(C549:C560))</f>
        <v/>
      </c>
      <c r="D14" s="57" t="str">
        <f>IF(COUNT(D549:D560)=0,"",AVERAGE(D549:D560))</f>
        <v/>
      </c>
      <c r="E14" s="57" t="str">
        <f>IF(SUM(E549:E560)=0,"",SUM(E549:E560))</f>
        <v/>
      </c>
      <c r="F14" s="57" t="str">
        <f>IF(COUNT(F549:F560)=0,"",AVERAGE(F549:F560))</f>
        <v/>
      </c>
      <c r="G14" s="57" t="str">
        <f>IF(SUM(G549:G560)=0,"",SUM(G549:G560))</f>
        <v/>
      </c>
      <c r="H14" s="81" t="str">
        <f>IF(COUNT(H549:H560)=0,"",AVERAGE(H549:H560))</f>
        <v/>
      </c>
      <c r="I14" s="81" t="str">
        <f>IF(SUM(I549:I560)=0,"",SUM(I549:I560))</f>
        <v/>
      </c>
      <c r="J14" s="87" t="str">
        <f>IF(COUNT(J549:J560)=0,"",AVERAGE(J549:J560))</f>
        <v/>
      </c>
      <c r="K14" s="88" t="str">
        <f>IF(SUM(K549:K560)=0,"",SUM(K549:K560))</f>
        <v/>
      </c>
      <c r="L14" s="87" t="str">
        <f>IF(COUNT(L549:L560)=0,"",AVERAGE(L549:L560))</f>
        <v/>
      </c>
      <c r="M14" s="88" t="str">
        <f>IF(SUM(M549:M560)=0,"",SUM(M549:M560))</f>
        <v/>
      </c>
    </row>
    <row r="15" spans="1:13" x14ac:dyDescent="0.25">
      <c r="A15" s="58">
        <v>43252</v>
      </c>
      <c r="B15" s="57" t="str">
        <f>IF(COUNT(B561:B572)=0,"",AVERAGE(B561:B572))</f>
        <v/>
      </c>
      <c r="C15" s="57" t="str">
        <f>IF(SUM(C561:C572)=0,"",SUM(C561:C572))</f>
        <v/>
      </c>
      <c r="D15" s="57" t="str">
        <f>IF(COUNT(D561:D572)=0,"",AVERAGE(D561:D572))</f>
        <v/>
      </c>
      <c r="E15" s="57" t="str">
        <f>IF(SUM(E561:E572)=0,"",SUM(E561:E572))</f>
        <v/>
      </c>
      <c r="F15" s="57" t="str">
        <f>IF(COUNT(F561:F572)=0,"",AVERAGE(F561:F572))</f>
        <v/>
      </c>
      <c r="G15" s="57" t="str">
        <f>IF(SUM(G561:G572)=0,"",SUM(G561:G572))</f>
        <v/>
      </c>
      <c r="H15" s="81" t="str">
        <f>IF(COUNT(H561:H572)=0,"",AVERAGE(H561:H572))</f>
        <v/>
      </c>
      <c r="I15" s="81" t="str">
        <f>IF(SUM(I561:I572)=0,"",SUM(I561:I572))</f>
        <v/>
      </c>
      <c r="J15" s="87" t="str">
        <f>IF(COUNT(J561:J572)=0,"",AVERAGE(J561:J572))</f>
        <v/>
      </c>
      <c r="K15" s="88">
        <f>IF(SUM(K561:K572)=0,"",SUM(K561:K572))</f>
        <v>2422.9614695340501</v>
      </c>
      <c r="L15" s="87" t="str">
        <f>IF(COUNT(L561:L572)=0,"",AVERAGE(L561:L572))</f>
        <v/>
      </c>
      <c r="M15" s="88" t="str">
        <f>IF(SUM(M561:M572)=0,"",SUM(M561:M572))</f>
        <v/>
      </c>
    </row>
    <row r="16" spans="1:13" x14ac:dyDescent="0.25">
      <c r="A16" s="58">
        <v>43617</v>
      </c>
      <c r="B16" s="57" t="str">
        <f>IF(COUNT(B573:B584)=0,"",AVERAGE(B573:B584))</f>
        <v/>
      </c>
      <c r="C16" s="57" t="str">
        <f>IF(SUM(C573:C584)=0,"",SUM(C573:C584))</f>
        <v/>
      </c>
      <c r="D16" s="57" t="str">
        <f>IF(COUNT(D573:D584)=0,"",AVERAGE(D573:D584))</f>
        <v/>
      </c>
      <c r="E16" s="57" t="str">
        <f>IF(SUM(E573:E584)=0,"",SUM(E573:E584))</f>
        <v/>
      </c>
      <c r="F16" s="57" t="str">
        <f>IF(COUNT(F573:F584)=0,"",AVERAGE(F573:F584))</f>
        <v/>
      </c>
      <c r="G16" s="57" t="str">
        <f>IF(SUM(G573:G584)=0,"",SUM(G573:G584))</f>
        <v/>
      </c>
      <c r="H16" s="81" t="str">
        <f>IF(COUNT(H573:H584)=0,"",AVERAGE(H573:H584))</f>
        <v/>
      </c>
      <c r="I16" s="81" t="str">
        <f>IF(SUM(I573:I584)=0,"",SUM(I573:I584))</f>
        <v/>
      </c>
      <c r="J16" s="87" t="str">
        <f>IF(COUNT(J573:J584)=0,"",AVERAGE(J573:J584))</f>
        <v/>
      </c>
      <c r="K16" s="88" t="str">
        <f>IF(SUM(K573:K584)=0,"",SUM(K573:K584))</f>
        <v/>
      </c>
      <c r="L16" s="87" t="str">
        <f>IF(COUNT(L573:L584)=0,"",AVERAGE(L573:L584))</f>
        <v/>
      </c>
      <c r="M16" s="88" t="str">
        <f>IF(SUM(M573:M584)=0,"",SUM(M573:M584))</f>
        <v/>
      </c>
    </row>
    <row r="17" spans="1:13" x14ac:dyDescent="0.25">
      <c r="A17" s="58">
        <v>43983</v>
      </c>
      <c r="B17" s="61" t="str">
        <f t="shared" ref="B17" si="6">IF(COUNT(B585:B596)=0,"",AVERAGE(B585:B596))</f>
        <v/>
      </c>
      <c r="C17" s="59" t="str">
        <f t="shared" ref="C17" si="7">IF(SUM(C585:C596)=0,"",SUM(C585:C596))</f>
        <v/>
      </c>
      <c r="D17" s="61" t="str">
        <f t="shared" ref="D17" si="8">IF(COUNT(D585:D596)=0,"",AVERAGE(D585:D596))</f>
        <v/>
      </c>
      <c r="E17" s="59" t="str">
        <f t="shared" ref="E17" si="9">IF(SUM(E585:E596)=0,"",SUM(E585:E596))</f>
        <v/>
      </c>
      <c r="F17" s="61" t="str">
        <f t="shared" ref="F17" si="10">IF(COUNT(F585:F596)=0,"",AVERAGE(F585:F596))</f>
        <v/>
      </c>
      <c r="G17" s="59" t="str">
        <f t="shared" ref="G17" si="11">IF(SUM(G585:G596)=0,"",SUM(G585:G596))</f>
        <v/>
      </c>
      <c r="H17" s="81" t="str">
        <f t="shared" ref="H17" si="12">IF(COUNT(H585:H596)=0,"",AVERAGE(H585:H596))</f>
        <v/>
      </c>
      <c r="I17" s="81" t="str">
        <f t="shared" ref="I17" si="13">IF(SUM(I585:I596)=0,"",SUM(I585:I596))</f>
        <v/>
      </c>
      <c r="J17" s="87" t="str">
        <f t="shared" ref="J17" si="14">IF(COUNT(J585:J596)=0,"",AVERAGE(J585:J596))</f>
        <v/>
      </c>
      <c r="K17" s="88" t="str">
        <f t="shared" ref="K17" si="15">IF(SUM(K585:K596)=0,"",SUM(K585:K596))</f>
        <v/>
      </c>
      <c r="L17" s="87" t="str">
        <f t="shared" ref="L17" si="16">IF(COUNT(L585:L596)=0,"",AVERAGE(L585:L596))</f>
        <v/>
      </c>
      <c r="M17" s="88" t="str">
        <f t="shared" ref="M17" si="17">IF(SUM(M585:M596)=0,"",SUM(M585:M596))</f>
        <v/>
      </c>
    </row>
    <row r="18" spans="1:13" x14ac:dyDescent="0.25">
      <c r="A18" s="58">
        <v>44348</v>
      </c>
      <c r="B18" s="61" t="str">
        <f t="shared" ref="B18" si="18">IF(COUNT(B597:B608)=0,"",AVERAGE(B597:B608))</f>
        <v/>
      </c>
      <c r="C18" s="59" t="str">
        <f t="shared" ref="C18" si="19">IF(SUM(C597:C608)=0,"",SUM(C597:C608))</f>
        <v/>
      </c>
      <c r="D18" s="61" t="str">
        <f t="shared" ref="D18" si="20">IF(COUNT(D597:D608)=0,"",AVERAGE(D597:D608))</f>
        <v/>
      </c>
      <c r="E18" s="59" t="str">
        <f t="shared" ref="E18" si="21">IF(SUM(E597:E608)=0,"",SUM(E597:E608))</f>
        <v/>
      </c>
      <c r="F18" s="61" t="str">
        <f t="shared" ref="F18" si="22">IF(COUNT(F597:F608)=0,"",AVERAGE(F597:F608))</f>
        <v/>
      </c>
      <c r="G18" s="59" t="str">
        <f t="shared" ref="G18" si="23">IF(SUM(G597:G608)=0,"",SUM(G597:G608))</f>
        <v/>
      </c>
      <c r="H18" s="81" t="str">
        <f t="shared" ref="H18" si="24">IF(COUNT(H597:H608)=0,"",AVERAGE(H597:H608))</f>
        <v/>
      </c>
      <c r="I18" s="81" t="str">
        <f t="shared" ref="I18" si="25">IF(SUM(I597:I608)=0,"",SUM(I597:I608))</f>
        <v/>
      </c>
      <c r="J18" s="87" t="str">
        <f t="shared" ref="J18" si="26">IF(COUNT(J597:J608)=0,"",AVERAGE(J597:J608))</f>
        <v/>
      </c>
      <c r="K18" s="88" t="str">
        <f t="shared" ref="K18" si="27">IF(SUM(K597:K608)=0,"",SUM(K597:K608))</f>
        <v/>
      </c>
      <c r="L18" s="87" t="str">
        <f t="shared" ref="L18" si="28">IF(COUNT(L597:L608)=0,"",AVERAGE(L597:L608))</f>
        <v/>
      </c>
      <c r="M18" s="88" t="str">
        <f t="shared" ref="M18" si="29">IF(SUM(M597:M608)=0,"",SUM(M597:M608))</f>
        <v/>
      </c>
    </row>
    <row r="19" spans="1:13" x14ac:dyDescent="0.25">
      <c r="A19" s="58">
        <v>44713</v>
      </c>
      <c r="B19" s="61" t="str">
        <f t="shared" ref="B19" si="30">IF(COUNT(B609:B620)=0,"",AVERAGE(B609:B620))</f>
        <v/>
      </c>
      <c r="C19" s="59" t="str">
        <f t="shared" ref="C19" si="31">IF(SUM(C609:C620)=0,"",SUM(C609:C620))</f>
        <v/>
      </c>
      <c r="D19" s="61" t="str">
        <f t="shared" ref="D19" si="32">IF(COUNT(D609:D620)=0,"",AVERAGE(D609:D620))</f>
        <v/>
      </c>
      <c r="E19" s="59" t="str">
        <f t="shared" ref="E19" si="33">IF(SUM(E609:E620)=0,"",SUM(E609:E620))</f>
        <v/>
      </c>
      <c r="F19" s="61" t="str">
        <f t="shared" ref="F19" si="34">IF(COUNT(F609:F620)=0,"",AVERAGE(F609:F620))</f>
        <v/>
      </c>
      <c r="G19" s="59" t="str">
        <f t="shared" ref="G19" si="35">IF(SUM(G609:G620)=0,"",SUM(G609:G620))</f>
        <v/>
      </c>
      <c r="H19" s="81" t="str">
        <f t="shared" ref="H19" si="36">IF(COUNT(H609:H620)=0,"",AVERAGE(H609:H620))</f>
        <v/>
      </c>
      <c r="I19" s="81" t="str">
        <f t="shared" ref="I19" si="37">IF(SUM(I609:I620)=0,"",SUM(I609:I620))</f>
        <v/>
      </c>
      <c r="J19" s="87" t="str">
        <f t="shared" ref="J19" si="38">IF(COUNT(J609:J620)=0,"",AVERAGE(J609:J620))</f>
        <v/>
      </c>
      <c r="K19" s="88" t="str">
        <f t="shared" ref="K19" si="39">IF(SUM(K609:K620)=0,"",SUM(K609:K620))</f>
        <v/>
      </c>
      <c r="L19" s="87" t="str">
        <f t="shared" ref="L19" si="40">IF(COUNT(L609:L620)=0,"",AVERAGE(L609:L620))</f>
        <v/>
      </c>
      <c r="M19" s="88" t="str">
        <f t="shared" ref="M19" si="41">IF(SUM(M609:M620)=0,"",SUM(M609:M620))</f>
        <v/>
      </c>
    </row>
    <row r="20" spans="1:13" x14ac:dyDescent="0.25">
      <c r="A20" s="58">
        <v>45078</v>
      </c>
      <c r="B20" s="61" t="str">
        <f t="shared" ref="B20" si="42">IF(COUNT(B621:B628)=0,"",AVERAGE(B621:B628))</f>
        <v/>
      </c>
      <c r="C20" s="59" t="str">
        <f t="shared" ref="C20" si="43">IF(SUM(C621:C628)=0,"",SUM(C621:C628))</f>
        <v/>
      </c>
      <c r="D20" s="61" t="str">
        <f t="shared" ref="D20" si="44">IF(COUNT(D621:D628)=0,"",AVERAGE(D621:D628))</f>
        <v/>
      </c>
      <c r="E20" s="59" t="str">
        <f t="shared" ref="E20" si="45">IF(SUM(E621:E628)=0,"",SUM(E621:E628))</f>
        <v/>
      </c>
      <c r="F20" s="61" t="str">
        <f t="shared" ref="F20" si="46">IF(COUNT(F621:F628)=0,"",AVERAGE(F621:F628))</f>
        <v/>
      </c>
      <c r="G20" s="59" t="str">
        <f t="shared" ref="G20" si="47">IF(SUM(G621:G628)=0,"",SUM(G621:G628))</f>
        <v/>
      </c>
      <c r="H20" s="81" t="str">
        <f t="shared" ref="H20" si="48">IF(COUNT(H621:H628)=0,"",AVERAGE(H621:H628))</f>
        <v/>
      </c>
      <c r="I20" s="81" t="str">
        <f t="shared" ref="I20" si="49">IF(SUM(I621:I628)=0,"",SUM(I621:I628))</f>
        <v/>
      </c>
      <c r="J20" s="87" t="str">
        <f t="shared" ref="J20" si="50">IF(COUNT(J621:J628)=0,"",AVERAGE(J621:J628))</f>
        <v/>
      </c>
      <c r="K20" s="88" t="str">
        <f t="shared" ref="K20" si="51">IF(SUM(K621:K628)=0,"",SUM(K621:K628))</f>
        <v/>
      </c>
      <c r="L20" s="87" t="str">
        <f t="shared" ref="L20" si="52">IF(COUNT(L621:L628)=0,"",AVERAGE(L621:L628))</f>
        <v/>
      </c>
      <c r="M20" s="88" t="str">
        <f t="shared" ref="M20" si="53">IF(SUM(M621:M628)=0,"",SUM(M621:M628))</f>
        <v/>
      </c>
    </row>
    <row r="21" spans="1:13" x14ac:dyDescent="0.25">
      <c r="A21" s="62">
        <v>26665</v>
      </c>
      <c r="B21" s="9"/>
      <c r="D21" s="9"/>
      <c r="E21" s="10"/>
      <c r="F21" s="33"/>
      <c r="G21" s="10"/>
      <c r="H21" s="12"/>
      <c r="I21" s="8"/>
      <c r="J21" s="33"/>
      <c r="K21" s="10"/>
      <c r="L21" s="33"/>
      <c r="M21" s="10"/>
    </row>
    <row r="22" spans="1:13" x14ac:dyDescent="0.25">
      <c r="A22" s="62">
        <v>26696</v>
      </c>
      <c r="B22" s="9"/>
      <c r="D22" s="9"/>
      <c r="E22" s="10"/>
      <c r="F22" s="33"/>
      <c r="G22" s="10"/>
      <c r="H22" s="12"/>
      <c r="I22" s="8"/>
      <c r="J22" s="33"/>
      <c r="K22" s="10"/>
      <c r="L22" s="33"/>
      <c r="M22" s="10"/>
    </row>
    <row r="23" spans="1:13" x14ac:dyDescent="0.25">
      <c r="A23" s="62">
        <v>26724</v>
      </c>
      <c r="B23" s="9"/>
      <c r="D23" s="9"/>
      <c r="E23" s="10"/>
      <c r="F23" s="33"/>
      <c r="G23" s="10"/>
      <c r="H23" s="12"/>
      <c r="I23" s="8"/>
      <c r="J23" s="33"/>
      <c r="K23" s="10"/>
      <c r="L23" s="33"/>
      <c r="M23" s="10"/>
    </row>
    <row r="24" spans="1:13" x14ac:dyDescent="0.25">
      <c r="A24" s="62">
        <v>26755</v>
      </c>
      <c r="B24" s="9"/>
      <c r="D24" s="9"/>
      <c r="E24" s="10"/>
      <c r="F24" s="33"/>
      <c r="G24" s="10"/>
      <c r="H24" s="12"/>
      <c r="I24" s="8"/>
      <c r="J24" s="33"/>
      <c r="K24" s="10"/>
      <c r="L24" s="33"/>
      <c r="M24" s="10"/>
    </row>
    <row r="25" spans="1:13" x14ac:dyDescent="0.25">
      <c r="A25" s="62">
        <v>26785</v>
      </c>
      <c r="B25" s="9"/>
      <c r="D25" s="9"/>
      <c r="E25" s="10"/>
      <c r="F25" s="33"/>
      <c r="G25" s="10"/>
      <c r="H25" s="12"/>
      <c r="I25" s="8"/>
      <c r="J25" s="33"/>
      <c r="K25" s="10"/>
      <c r="L25" s="33"/>
      <c r="M25" s="10"/>
    </row>
    <row r="26" spans="1:13" x14ac:dyDescent="0.25">
      <c r="A26" s="62">
        <v>26816</v>
      </c>
      <c r="B26" s="9"/>
      <c r="D26" s="9"/>
      <c r="E26" s="10"/>
      <c r="F26" s="33"/>
      <c r="G26" s="10"/>
      <c r="H26" s="12"/>
      <c r="I26" s="8"/>
      <c r="J26" s="33"/>
      <c r="K26" s="10"/>
      <c r="L26" s="33"/>
      <c r="M26" s="10"/>
    </row>
    <row r="27" spans="1:13" x14ac:dyDescent="0.25">
      <c r="A27" s="62">
        <v>26846</v>
      </c>
      <c r="B27" s="9"/>
      <c r="D27" s="9"/>
      <c r="E27" s="10"/>
      <c r="F27" s="33"/>
      <c r="G27" s="10"/>
      <c r="H27" s="12"/>
      <c r="I27" s="8"/>
      <c r="J27" s="33"/>
      <c r="K27" s="10"/>
      <c r="L27" s="33"/>
      <c r="M27" s="10"/>
    </row>
    <row r="28" spans="1:13" x14ac:dyDescent="0.25">
      <c r="A28" s="62">
        <v>26877</v>
      </c>
      <c r="B28" s="9"/>
      <c r="D28" s="9"/>
      <c r="E28" s="10"/>
      <c r="F28" s="33"/>
      <c r="G28" s="10"/>
      <c r="H28" s="12"/>
      <c r="I28" s="8"/>
      <c r="J28" s="33"/>
      <c r="K28" s="10"/>
      <c r="L28" s="33"/>
      <c r="M28" s="10"/>
    </row>
    <row r="29" spans="1:13" x14ac:dyDescent="0.25">
      <c r="A29" s="62">
        <v>26908</v>
      </c>
      <c r="B29" s="9"/>
      <c r="D29" s="9"/>
      <c r="E29" s="10"/>
      <c r="F29" s="33"/>
      <c r="G29" s="10"/>
      <c r="H29" s="12"/>
      <c r="I29" s="8"/>
      <c r="J29" s="33"/>
      <c r="K29" s="10"/>
      <c r="L29" s="33"/>
      <c r="M29" s="10"/>
    </row>
    <row r="30" spans="1:13" x14ac:dyDescent="0.25">
      <c r="A30" s="62">
        <v>26938</v>
      </c>
      <c r="B30" s="9"/>
      <c r="D30" s="9"/>
      <c r="E30" s="10"/>
      <c r="F30" s="33"/>
      <c r="G30" s="10"/>
      <c r="H30" s="12"/>
      <c r="I30" s="8"/>
      <c r="J30" s="33"/>
      <c r="K30" s="10"/>
      <c r="L30" s="33"/>
      <c r="M30" s="10"/>
    </row>
    <row r="31" spans="1:13" x14ac:dyDescent="0.25">
      <c r="A31" s="62">
        <v>26969</v>
      </c>
      <c r="B31" s="9"/>
      <c r="D31" s="9"/>
      <c r="E31" s="10"/>
      <c r="F31" s="33"/>
      <c r="G31" s="10"/>
      <c r="H31" s="12"/>
      <c r="I31" s="8"/>
      <c r="J31" s="33"/>
      <c r="K31" s="10"/>
      <c r="L31" s="33"/>
      <c r="M31" s="10"/>
    </row>
    <row r="32" spans="1:13" x14ac:dyDescent="0.25">
      <c r="A32" s="62">
        <v>26999</v>
      </c>
      <c r="B32" s="9"/>
      <c r="D32" s="9"/>
      <c r="E32" s="10"/>
      <c r="F32" s="33"/>
      <c r="G32" s="10"/>
      <c r="H32" s="12"/>
      <c r="I32" s="8"/>
      <c r="J32" s="33"/>
      <c r="K32" s="10"/>
      <c r="L32" s="33"/>
      <c r="M32" s="10"/>
    </row>
    <row r="33" spans="1:13" x14ac:dyDescent="0.25">
      <c r="A33" s="62">
        <v>27030</v>
      </c>
      <c r="B33" s="9"/>
      <c r="D33" s="9"/>
      <c r="E33" s="10"/>
      <c r="F33" s="33"/>
      <c r="G33" s="10"/>
      <c r="H33" s="12"/>
      <c r="I33" s="8"/>
      <c r="J33" s="33"/>
      <c r="K33" s="10"/>
      <c r="L33" s="33"/>
      <c r="M33" s="10"/>
    </row>
    <row r="34" spans="1:13" x14ac:dyDescent="0.25">
      <c r="A34" s="62">
        <v>27061</v>
      </c>
      <c r="B34" s="9"/>
      <c r="D34" s="9"/>
      <c r="E34" s="10"/>
      <c r="F34" s="33"/>
      <c r="G34" s="10"/>
      <c r="H34" s="12"/>
      <c r="I34" s="8"/>
      <c r="J34" s="33"/>
      <c r="K34" s="10"/>
      <c r="L34" s="33"/>
      <c r="M34" s="10"/>
    </row>
    <row r="35" spans="1:13" x14ac:dyDescent="0.25">
      <c r="A35" s="62">
        <v>27089</v>
      </c>
      <c r="B35" s="9"/>
      <c r="D35" s="9"/>
      <c r="E35" s="10"/>
      <c r="F35" s="33"/>
      <c r="G35" s="10"/>
      <c r="H35" s="12"/>
      <c r="I35" s="8"/>
      <c r="J35" s="33"/>
      <c r="K35" s="10"/>
      <c r="L35" s="33"/>
      <c r="M35" s="10"/>
    </row>
    <row r="36" spans="1:13" x14ac:dyDescent="0.25">
      <c r="A36" s="62">
        <v>27120</v>
      </c>
      <c r="B36" s="9"/>
      <c r="D36" s="9"/>
      <c r="E36" s="10"/>
      <c r="F36" s="33"/>
      <c r="G36" s="10"/>
      <c r="H36" s="12"/>
      <c r="I36" s="8"/>
      <c r="J36" s="33"/>
      <c r="K36" s="10"/>
      <c r="L36" s="33"/>
      <c r="M36" s="10"/>
    </row>
    <row r="37" spans="1:13" x14ac:dyDescent="0.25">
      <c r="A37" s="62">
        <v>27150</v>
      </c>
      <c r="B37" s="9"/>
      <c r="D37" s="9"/>
      <c r="E37" s="10"/>
      <c r="F37" s="33"/>
      <c r="G37" s="10"/>
      <c r="H37" s="12"/>
      <c r="I37" s="8"/>
      <c r="J37" s="33"/>
      <c r="K37" s="10"/>
      <c r="L37" s="33"/>
      <c r="M37" s="10"/>
    </row>
    <row r="38" spans="1:13" x14ac:dyDescent="0.25">
      <c r="A38" s="62">
        <v>27181</v>
      </c>
      <c r="B38" s="9"/>
      <c r="D38" s="9"/>
      <c r="E38" s="10"/>
      <c r="F38" s="33"/>
      <c r="G38" s="10"/>
      <c r="H38" s="12"/>
      <c r="I38" s="8"/>
      <c r="J38" s="33"/>
      <c r="K38" s="10"/>
      <c r="L38" s="33"/>
      <c r="M38" s="10"/>
    </row>
    <row r="39" spans="1:13" x14ac:dyDescent="0.25">
      <c r="A39" s="62">
        <v>27211</v>
      </c>
      <c r="B39" s="9"/>
      <c r="D39" s="9"/>
      <c r="E39" s="10"/>
      <c r="F39" s="33"/>
      <c r="G39" s="10"/>
      <c r="H39" s="12"/>
      <c r="I39" s="8"/>
      <c r="J39" s="33"/>
      <c r="K39" s="10"/>
      <c r="L39" s="33"/>
      <c r="M39" s="10"/>
    </row>
    <row r="40" spans="1:13" x14ac:dyDescent="0.25">
      <c r="A40" s="62">
        <v>27242</v>
      </c>
      <c r="B40" s="9"/>
      <c r="D40" s="9"/>
      <c r="E40" s="10"/>
      <c r="F40" s="33"/>
      <c r="G40" s="10"/>
      <c r="H40" s="12"/>
      <c r="I40" s="8"/>
      <c r="J40" s="33"/>
      <c r="K40" s="10"/>
      <c r="L40" s="33"/>
      <c r="M40" s="10"/>
    </row>
    <row r="41" spans="1:13" x14ac:dyDescent="0.25">
      <c r="A41" s="62">
        <v>27273</v>
      </c>
      <c r="B41" s="9"/>
      <c r="D41" s="9"/>
      <c r="E41" s="10"/>
      <c r="F41" s="33"/>
      <c r="G41" s="10"/>
      <c r="H41" s="12"/>
      <c r="I41" s="8"/>
      <c r="J41" s="33"/>
      <c r="K41" s="10"/>
      <c r="L41" s="33"/>
      <c r="M41" s="10"/>
    </row>
    <row r="42" spans="1:13" x14ac:dyDescent="0.25">
      <c r="A42" s="62">
        <v>27303</v>
      </c>
      <c r="B42" s="9"/>
      <c r="D42" s="9"/>
      <c r="E42" s="10"/>
      <c r="F42" s="33"/>
      <c r="G42" s="10"/>
      <c r="H42" s="12"/>
      <c r="I42" s="8"/>
      <c r="J42" s="33"/>
      <c r="K42" s="10"/>
      <c r="L42" s="33"/>
      <c r="M42" s="10"/>
    </row>
    <row r="43" spans="1:13" x14ac:dyDescent="0.25">
      <c r="A43" s="62">
        <v>27334</v>
      </c>
      <c r="B43" s="9"/>
      <c r="D43" s="9"/>
      <c r="E43" s="10"/>
      <c r="F43" s="33"/>
      <c r="G43" s="10"/>
      <c r="H43" s="12"/>
      <c r="I43" s="8"/>
      <c r="J43" s="33"/>
      <c r="K43" s="10"/>
      <c r="L43" s="33"/>
      <c r="M43" s="10"/>
    </row>
    <row r="44" spans="1:13" x14ac:dyDescent="0.25">
      <c r="A44" s="62">
        <v>27364</v>
      </c>
      <c r="B44" s="9"/>
      <c r="D44" s="9"/>
      <c r="E44" s="10"/>
      <c r="F44" s="33"/>
      <c r="G44" s="10"/>
      <c r="H44" s="12"/>
      <c r="I44" s="8"/>
      <c r="J44" s="33"/>
      <c r="K44" s="10"/>
      <c r="L44" s="33"/>
      <c r="M44" s="10"/>
    </row>
    <row r="45" spans="1:13" x14ac:dyDescent="0.25">
      <c r="A45" s="62">
        <v>27395</v>
      </c>
      <c r="B45" s="9"/>
      <c r="D45" s="9"/>
      <c r="E45" s="10"/>
      <c r="F45" s="33"/>
      <c r="G45" s="10"/>
      <c r="H45" s="12"/>
      <c r="I45" s="8"/>
      <c r="J45" s="33"/>
      <c r="K45" s="10"/>
      <c r="L45" s="33"/>
      <c r="M45" s="10"/>
    </row>
    <row r="46" spans="1:13" x14ac:dyDescent="0.25">
      <c r="A46" s="62">
        <v>27426</v>
      </c>
      <c r="B46" s="9"/>
      <c r="D46" s="9"/>
      <c r="E46" s="10"/>
      <c r="F46" s="33"/>
      <c r="G46" s="10"/>
      <c r="H46" s="12"/>
      <c r="I46" s="8"/>
      <c r="J46" s="33"/>
      <c r="K46" s="10"/>
      <c r="L46" s="33"/>
      <c r="M46" s="10"/>
    </row>
    <row r="47" spans="1:13" x14ac:dyDescent="0.25">
      <c r="A47" s="62">
        <v>27454</v>
      </c>
      <c r="B47" s="9"/>
      <c r="D47" s="9"/>
      <c r="E47" s="10"/>
      <c r="F47" s="33"/>
      <c r="G47" s="10"/>
      <c r="H47" s="12"/>
      <c r="I47" s="8"/>
      <c r="J47" s="33"/>
      <c r="K47" s="10"/>
      <c r="L47" s="33"/>
      <c r="M47" s="10"/>
    </row>
    <row r="48" spans="1:13" x14ac:dyDescent="0.25">
      <c r="A48" s="62">
        <v>27485</v>
      </c>
      <c r="B48" s="9"/>
      <c r="D48" s="9"/>
      <c r="E48" s="10"/>
      <c r="F48" s="33"/>
      <c r="G48" s="10"/>
      <c r="H48" s="12"/>
      <c r="I48" s="8"/>
      <c r="J48" s="33"/>
      <c r="K48" s="10"/>
      <c r="L48" s="33"/>
      <c r="M48" s="10"/>
    </row>
    <row r="49" spans="1:13" x14ac:dyDescent="0.25">
      <c r="A49" s="62">
        <v>27515</v>
      </c>
      <c r="B49" s="9"/>
      <c r="D49" s="9"/>
      <c r="E49" s="10"/>
      <c r="F49" s="33"/>
      <c r="G49" s="10"/>
      <c r="H49" s="12"/>
      <c r="I49" s="8"/>
      <c r="J49" s="33"/>
      <c r="K49" s="10"/>
      <c r="L49" s="33"/>
      <c r="M49" s="10"/>
    </row>
    <row r="50" spans="1:13" x14ac:dyDescent="0.25">
      <c r="A50" s="62">
        <v>27546</v>
      </c>
      <c r="B50" s="9"/>
      <c r="D50" s="9"/>
      <c r="E50" s="10"/>
      <c r="F50" s="33"/>
      <c r="G50" s="10"/>
      <c r="H50" s="12"/>
      <c r="I50" s="8"/>
      <c r="J50" s="33"/>
      <c r="K50" s="10"/>
      <c r="L50" s="33"/>
      <c r="M50" s="10"/>
    </row>
    <row r="51" spans="1:13" x14ac:dyDescent="0.25">
      <c r="A51" s="62">
        <v>27576</v>
      </c>
      <c r="B51" s="9"/>
      <c r="D51" s="9"/>
      <c r="E51" s="10"/>
      <c r="F51" s="33"/>
      <c r="G51" s="10"/>
      <c r="H51" s="12"/>
      <c r="I51" s="8"/>
      <c r="J51" s="33"/>
      <c r="K51" s="10"/>
      <c r="L51" s="33"/>
      <c r="M51" s="10"/>
    </row>
    <row r="52" spans="1:13" x14ac:dyDescent="0.25">
      <c r="A52" s="62">
        <v>27607</v>
      </c>
      <c r="B52" s="9"/>
      <c r="D52" s="9"/>
      <c r="E52" s="10"/>
      <c r="F52" s="33"/>
      <c r="G52" s="10"/>
      <c r="H52" s="12"/>
      <c r="I52" s="8"/>
      <c r="J52" s="33"/>
      <c r="K52" s="10"/>
      <c r="L52" s="33"/>
      <c r="M52" s="10"/>
    </row>
    <row r="53" spans="1:13" x14ac:dyDescent="0.25">
      <c r="A53" s="62">
        <v>27638</v>
      </c>
      <c r="B53" s="9"/>
      <c r="D53" s="9"/>
      <c r="E53" s="10"/>
      <c r="F53" s="33"/>
      <c r="G53" s="10"/>
      <c r="H53" s="12"/>
      <c r="I53" s="8"/>
      <c r="J53" s="33"/>
      <c r="K53" s="10"/>
      <c r="L53" s="33"/>
      <c r="M53" s="10"/>
    </row>
    <row r="54" spans="1:13" x14ac:dyDescent="0.25">
      <c r="A54" s="62">
        <v>27668</v>
      </c>
      <c r="B54" s="9"/>
      <c r="D54" s="9"/>
      <c r="E54" s="10"/>
      <c r="F54" s="33"/>
      <c r="G54" s="10"/>
      <c r="H54" s="12"/>
      <c r="I54" s="8"/>
      <c r="J54" s="33"/>
      <c r="K54" s="10"/>
      <c r="L54" s="33"/>
      <c r="M54" s="10"/>
    </row>
    <row r="55" spans="1:13" x14ac:dyDescent="0.25">
      <c r="A55" s="62">
        <v>27699</v>
      </c>
      <c r="B55" s="9"/>
      <c r="D55" s="9"/>
      <c r="E55" s="10"/>
      <c r="F55" s="33"/>
      <c r="G55" s="10"/>
      <c r="H55" s="12"/>
      <c r="I55" s="8"/>
      <c r="J55" s="33"/>
      <c r="K55" s="10"/>
      <c r="L55" s="33"/>
      <c r="M55" s="10"/>
    </row>
    <row r="56" spans="1:13" x14ac:dyDescent="0.25">
      <c r="A56" s="62">
        <v>27729</v>
      </c>
      <c r="B56" s="9"/>
      <c r="D56" s="9"/>
      <c r="E56" s="10"/>
      <c r="F56" s="33"/>
      <c r="G56" s="10"/>
      <c r="H56" s="12"/>
      <c r="I56" s="8"/>
      <c r="J56" s="33"/>
      <c r="K56" s="10"/>
      <c r="L56" s="33"/>
      <c r="M56" s="10"/>
    </row>
    <row r="57" spans="1:13" x14ac:dyDescent="0.25">
      <c r="A57" s="62">
        <v>27760</v>
      </c>
      <c r="B57" s="9"/>
      <c r="D57" s="9"/>
      <c r="E57" s="10"/>
      <c r="F57" s="33"/>
      <c r="G57" s="10"/>
      <c r="H57" s="12"/>
      <c r="I57" s="8"/>
      <c r="J57" s="33"/>
      <c r="K57" s="10"/>
      <c r="L57" s="33"/>
      <c r="M57" s="10"/>
    </row>
    <row r="58" spans="1:13" x14ac:dyDescent="0.25">
      <c r="A58" s="62">
        <v>27791</v>
      </c>
      <c r="B58" s="9"/>
      <c r="D58" s="9"/>
      <c r="E58" s="10"/>
      <c r="F58" s="33"/>
      <c r="G58" s="10"/>
      <c r="H58" s="12"/>
      <c r="I58" s="8"/>
      <c r="J58" s="33"/>
      <c r="K58" s="10"/>
      <c r="L58" s="33"/>
      <c r="M58" s="10"/>
    </row>
    <row r="59" spans="1:13" x14ac:dyDescent="0.25">
      <c r="A59" s="62">
        <v>27820</v>
      </c>
      <c r="B59" s="9"/>
      <c r="D59" s="9"/>
      <c r="E59" s="10"/>
      <c r="F59" s="33"/>
      <c r="G59" s="10"/>
      <c r="H59" s="12"/>
      <c r="I59" s="8"/>
      <c r="J59" s="33"/>
      <c r="K59" s="10"/>
      <c r="L59" s="33"/>
      <c r="M59" s="10"/>
    </row>
    <row r="60" spans="1:13" x14ac:dyDescent="0.25">
      <c r="A60" s="62">
        <v>27851</v>
      </c>
      <c r="B60" s="9"/>
      <c r="D60" s="9"/>
      <c r="E60" s="10"/>
      <c r="F60" s="33"/>
      <c r="G60" s="10"/>
      <c r="H60" s="12"/>
      <c r="I60" s="8"/>
      <c r="J60" s="33"/>
      <c r="K60" s="10"/>
      <c r="L60" s="33"/>
      <c r="M60" s="10"/>
    </row>
    <row r="61" spans="1:13" x14ac:dyDescent="0.25">
      <c r="A61" s="62">
        <v>27881</v>
      </c>
      <c r="B61" s="9"/>
      <c r="D61" s="9"/>
      <c r="E61" s="10"/>
      <c r="F61" s="33"/>
      <c r="G61" s="10"/>
      <c r="H61" s="12"/>
      <c r="I61" s="8"/>
      <c r="J61" s="33"/>
      <c r="K61" s="10"/>
      <c r="L61" s="33"/>
      <c r="M61" s="10"/>
    </row>
    <row r="62" spans="1:13" x14ac:dyDescent="0.25">
      <c r="A62" s="62">
        <v>27912</v>
      </c>
      <c r="B62" s="9"/>
      <c r="D62" s="9"/>
      <c r="E62" s="10"/>
      <c r="F62" s="33"/>
      <c r="G62" s="10"/>
      <c r="H62" s="12"/>
      <c r="I62" s="8"/>
      <c r="J62" s="33"/>
      <c r="K62" s="10"/>
      <c r="L62" s="33"/>
      <c r="M62" s="10"/>
    </row>
    <row r="63" spans="1:13" x14ac:dyDescent="0.25">
      <c r="A63" s="62">
        <v>27942</v>
      </c>
      <c r="B63" s="9"/>
      <c r="D63" s="9"/>
      <c r="E63" s="10"/>
      <c r="F63" s="33"/>
      <c r="G63" s="10"/>
      <c r="H63" s="12"/>
      <c r="I63" s="8"/>
      <c r="J63" s="33"/>
      <c r="K63" s="10"/>
      <c r="L63" s="33"/>
      <c r="M63" s="10"/>
    </row>
    <row r="64" spans="1:13" x14ac:dyDescent="0.25">
      <c r="A64" s="62">
        <v>27973</v>
      </c>
      <c r="B64" s="9"/>
      <c r="D64" s="9"/>
      <c r="E64" s="10"/>
      <c r="F64" s="33"/>
      <c r="G64" s="10"/>
      <c r="H64" s="12"/>
      <c r="I64" s="8"/>
      <c r="J64" s="33"/>
      <c r="K64" s="10"/>
      <c r="L64" s="33"/>
      <c r="M64" s="10"/>
    </row>
    <row r="65" spans="1:13" x14ac:dyDescent="0.25">
      <c r="A65" s="62">
        <v>28004</v>
      </c>
      <c r="B65" s="9"/>
      <c r="D65" s="9"/>
      <c r="E65" s="10"/>
      <c r="F65" s="33"/>
      <c r="G65" s="10"/>
      <c r="H65" s="12"/>
      <c r="I65" s="8"/>
      <c r="J65" s="33"/>
      <c r="K65" s="10"/>
      <c r="L65" s="33"/>
      <c r="M65" s="10"/>
    </row>
    <row r="66" spans="1:13" x14ac:dyDescent="0.25">
      <c r="A66" s="62">
        <v>28034</v>
      </c>
      <c r="B66" s="9"/>
      <c r="D66" s="9"/>
      <c r="E66" s="10"/>
      <c r="F66" s="33"/>
      <c r="G66" s="10"/>
      <c r="H66" s="12"/>
      <c r="I66" s="8"/>
      <c r="J66" s="33"/>
      <c r="K66" s="10"/>
      <c r="L66" s="33"/>
      <c r="M66" s="10"/>
    </row>
    <row r="67" spans="1:13" x14ac:dyDescent="0.25">
      <c r="A67" s="62">
        <v>28065</v>
      </c>
      <c r="B67" s="9"/>
      <c r="D67" s="9"/>
      <c r="E67" s="10"/>
      <c r="F67" s="33"/>
      <c r="G67" s="10"/>
      <c r="H67" s="12"/>
      <c r="I67" s="8"/>
      <c r="J67" s="33"/>
      <c r="K67" s="10"/>
      <c r="L67" s="33"/>
      <c r="M67" s="10"/>
    </row>
    <row r="68" spans="1:13" x14ac:dyDescent="0.25">
      <c r="A68" s="62">
        <v>28095</v>
      </c>
      <c r="B68" s="9"/>
      <c r="D68" s="9"/>
      <c r="E68" s="10"/>
      <c r="F68" s="33"/>
      <c r="G68" s="10"/>
      <c r="H68" s="12"/>
      <c r="I68" s="8"/>
      <c r="J68" s="33"/>
      <c r="K68" s="10"/>
      <c r="L68" s="33"/>
      <c r="M68" s="10"/>
    </row>
    <row r="69" spans="1:13" x14ac:dyDescent="0.25">
      <c r="A69" s="62">
        <v>28126</v>
      </c>
      <c r="B69" s="9"/>
      <c r="D69" s="9"/>
      <c r="E69" s="10"/>
      <c r="F69" s="33"/>
      <c r="G69" s="10"/>
      <c r="H69" s="12"/>
      <c r="I69" s="8"/>
      <c r="J69" s="33"/>
      <c r="K69" s="10"/>
      <c r="L69" s="33"/>
      <c r="M69" s="10"/>
    </row>
    <row r="70" spans="1:13" x14ac:dyDescent="0.25">
      <c r="A70" s="62">
        <v>28157</v>
      </c>
      <c r="B70" s="9"/>
      <c r="D70" s="9"/>
      <c r="E70" s="10"/>
      <c r="F70" s="33"/>
      <c r="G70" s="10"/>
      <c r="H70" s="12"/>
      <c r="I70" s="8"/>
      <c r="J70" s="33"/>
      <c r="K70" s="10"/>
      <c r="L70" s="33"/>
      <c r="M70" s="10"/>
    </row>
    <row r="71" spans="1:13" x14ac:dyDescent="0.25">
      <c r="A71" s="62">
        <v>28185</v>
      </c>
      <c r="B71" s="9"/>
      <c r="D71" s="9"/>
      <c r="E71" s="10"/>
      <c r="F71" s="33"/>
      <c r="G71" s="10"/>
      <c r="H71" s="12"/>
      <c r="I71" s="8"/>
      <c r="J71" s="33"/>
      <c r="K71" s="10"/>
      <c r="L71" s="33"/>
      <c r="M71" s="10"/>
    </row>
    <row r="72" spans="1:13" x14ac:dyDescent="0.25">
      <c r="A72" s="62">
        <v>28216</v>
      </c>
      <c r="B72" s="9"/>
      <c r="D72" s="9"/>
      <c r="E72" s="10"/>
      <c r="F72" s="33"/>
      <c r="G72" s="10"/>
      <c r="H72" s="12"/>
      <c r="I72" s="8"/>
      <c r="J72" s="33"/>
      <c r="K72" s="10"/>
      <c r="L72" s="33"/>
      <c r="M72" s="10"/>
    </row>
    <row r="73" spans="1:13" x14ac:dyDescent="0.25">
      <c r="A73" s="62">
        <v>28246</v>
      </c>
      <c r="B73" s="9"/>
      <c r="D73" s="9"/>
      <c r="E73" s="10"/>
      <c r="F73" s="33"/>
      <c r="G73" s="10"/>
      <c r="H73" s="12"/>
      <c r="I73" s="8"/>
      <c r="J73" s="33"/>
      <c r="K73" s="10"/>
      <c r="L73" s="33"/>
      <c r="M73" s="10"/>
    </row>
    <row r="74" spans="1:13" x14ac:dyDescent="0.25">
      <c r="A74" s="62">
        <v>28277</v>
      </c>
      <c r="B74" s="9"/>
      <c r="D74" s="9"/>
      <c r="E74" s="10"/>
      <c r="F74" s="33"/>
      <c r="G74" s="10"/>
      <c r="H74" s="12"/>
      <c r="I74" s="8"/>
      <c r="J74" s="33"/>
      <c r="K74" s="10"/>
      <c r="L74" s="33"/>
      <c r="M74" s="10"/>
    </row>
    <row r="75" spans="1:13" x14ac:dyDescent="0.25">
      <c r="A75" s="62">
        <v>28307</v>
      </c>
      <c r="B75" s="9"/>
      <c r="D75" s="9"/>
      <c r="E75" s="10"/>
      <c r="F75" s="33"/>
      <c r="G75" s="10"/>
      <c r="H75" s="12"/>
      <c r="I75" s="8"/>
      <c r="J75" s="33"/>
      <c r="K75" s="10"/>
      <c r="L75" s="33"/>
      <c r="M75" s="10"/>
    </row>
    <row r="76" spans="1:13" x14ac:dyDescent="0.25">
      <c r="A76" s="62">
        <v>28338</v>
      </c>
      <c r="B76" s="9"/>
      <c r="D76" s="9"/>
      <c r="E76" s="10"/>
      <c r="F76" s="33"/>
      <c r="G76" s="10"/>
      <c r="H76" s="12"/>
      <c r="I76" s="8"/>
      <c r="J76" s="33"/>
      <c r="K76" s="10"/>
      <c r="L76" s="33"/>
      <c r="M76" s="10"/>
    </row>
    <row r="77" spans="1:13" x14ac:dyDescent="0.25">
      <c r="A77" s="62">
        <v>28369</v>
      </c>
      <c r="B77" s="9"/>
      <c r="D77" s="9"/>
      <c r="E77" s="10"/>
      <c r="F77" s="33"/>
      <c r="G77" s="10"/>
      <c r="H77" s="12"/>
      <c r="I77" s="8"/>
      <c r="J77" s="33"/>
      <c r="K77" s="10"/>
      <c r="L77" s="33"/>
      <c r="M77" s="10"/>
    </row>
    <row r="78" spans="1:13" x14ac:dyDescent="0.25">
      <c r="A78" s="62">
        <v>28399</v>
      </c>
      <c r="B78" s="9"/>
      <c r="D78" s="9"/>
      <c r="E78" s="10"/>
      <c r="F78" s="33"/>
      <c r="G78" s="10"/>
      <c r="H78" s="12"/>
      <c r="I78" s="8"/>
      <c r="J78" s="33"/>
      <c r="K78" s="10"/>
      <c r="L78" s="33"/>
      <c r="M78" s="10"/>
    </row>
    <row r="79" spans="1:13" x14ac:dyDescent="0.25">
      <c r="A79" s="62">
        <v>28430</v>
      </c>
      <c r="B79" s="9"/>
      <c r="D79" s="9"/>
      <c r="E79" s="10"/>
      <c r="F79" s="33"/>
      <c r="G79" s="10"/>
      <c r="H79" s="12"/>
      <c r="I79" s="8"/>
      <c r="J79" s="33"/>
      <c r="K79" s="10"/>
      <c r="L79" s="33"/>
      <c r="M79" s="10"/>
    </row>
    <row r="80" spans="1:13" x14ac:dyDescent="0.25">
      <c r="A80" s="62">
        <v>28460</v>
      </c>
      <c r="B80" s="9"/>
      <c r="D80" s="9"/>
      <c r="E80" s="10"/>
      <c r="F80" s="33"/>
      <c r="G80" s="10"/>
      <c r="H80" s="12"/>
      <c r="I80" s="8"/>
      <c r="J80" s="33"/>
      <c r="K80" s="10"/>
      <c r="L80" s="33"/>
      <c r="M80" s="10"/>
    </row>
    <row r="81" spans="1:13" x14ac:dyDescent="0.25">
      <c r="A81" s="62">
        <v>28491</v>
      </c>
      <c r="B81" s="9"/>
      <c r="D81" s="9"/>
      <c r="E81" s="10"/>
      <c r="F81" s="33"/>
      <c r="G81" s="10"/>
      <c r="H81" s="12"/>
      <c r="I81" s="8"/>
      <c r="J81" s="33"/>
      <c r="K81" s="10"/>
      <c r="L81" s="33"/>
      <c r="M81" s="10"/>
    </row>
    <row r="82" spans="1:13" x14ac:dyDescent="0.25">
      <c r="A82" s="62">
        <v>28522</v>
      </c>
      <c r="B82" s="9"/>
      <c r="D82" s="9"/>
      <c r="E82" s="10"/>
      <c r="F82" s="33"/>
      <c r="G82" s="10"/>
      <c r="H82" s="12"/>
      <c r="I82" s="8"/>
      <c r="J82" s="33"/>
      <c r="K82" s="10"/>
      <c r="L82" s="33"/>
      <c r="M82" s="10"/>
    </row>
    <row r="83" spans="1:13" x14ac:dyDescent="0.25">
      <c r="A83" s="62">
        <v>28550</v>
      </c>
      <c r="B83" s="9"/>
      <c r="D83" s="9"/>
      <c r="E83" s="10"/>
      <c r="F83" s="33"/>
      <c r="G83" s="10"/>
      <c r="H83" s="12"/>
      <c r="I83" s="8"/>
      <c r="J83" s="33"/>
      <c r="K83" s="10"/>
      <c r="L83" s="33"/>
      <c r="M83" s="10"/>
    </row>
    <row r="84" spans="1:13" x14ac:dyDescent="0.25">
      <c r="A84" s="62">
        <v>28581</v>
      </c>
      <c r="B84" s="9"/>
      <c r="D84" s="9"/>
      <c r="E84" s="10"/>
      <c r="F84" s="33"/>
      <c r="G84" s="10"/>
      <c r="H84" s="12"/>
      <c r="I84" s="8"/>
      <c r="J84" s="33"/>
      <c r="K84" s="10"/>
      <c r="L84" s="33"/>
      <c r="M84" s="10"/>
    </row>
    <row r="85" spans="1:13" x14ac:dyDescent="0.25">
      <c r="A85" s="62">
        <v>28611</v>
      </c>
      <c r="B85" s="9"/>
      <c r="D85" s="9"/>
      <c r="E85" s="10"/>
      <c r="F85" s="33"/>
      <c r="G85" s="10"/>
      <c r="H85" s="12"/>
      <c r="I85" s="8"/>
      <c r="J85" s="33"/>
      <c r="K85" s="10"/>
      <c r="L85" s="33"/>
      <c r="M85" s="10"/>
    </row>
    <row r="86" spans="1:13" x14ac:dyDescent="0.25">
      <c r="A86" s="62">
        <v>28642</v>
      </c>
      <c r="B86" s="9"/>
      <c r="D86" s="9"/>
      <c r="E86" s="10"/>
      <c r="F86" s="33"/>
      <c r="G86" s="10"/>
      <c r="H86" s="12"/>
      <c r="I86" s="8"/>
      <c r="J86" s="33"/>
      <c r="K86" s="10"/>
      <c r="L86" s="33"/>
      <c r="M86" s="10"/>
    </row>
    <row r="87" spans="1:13" x14ac:dyDescent="0.25">
      <c r="A87" s="62">
        <v>28672</v>
      </c>
      <c r="B87" s="9"/>
      <c r="D87" s="9"/>
      <c r="E87" s="10"/>
      <c r="F87" s="33"/>
      <c r="G87" s="10"/>
      <c r="H87" s="12"/>
      <c r="I87" s="8"/>
      <c r="J87" s="33"/>
      <c r="K87" s="10"/>
      <c r="L87" s="33"/>
      <c r="M87" s="10"/>
    </row>
    <row r="88" spans="1:13" x14ac:dyDescent="0.25">
      <c r="A88" s="62">
        <v>28703</v>
      </c>
      <c r="B88" s="9"/>
      <c r="D88" s="9"/>
      <c r="E88" s="10"/>
      <c r="F88" s="33"/>
      <c r="G88" s="10"/>
      <c r="H88" s="12"/>
      <c r="I88" s="8"/>
      <c r="J88" s="33"/>
      <c r="K88" s="10"/>
      <c r="L88" s="33"/>
      <c r="M88" s="10"/>
    </row>
    <row r="89" spans="1:13" x14ac:dyDescent="0.25">
      <c r="A89" s="62">
        <v>28734</v>
      </c>
      <c r="B89" s="9"/>
      <c r="D89" s="9"/>
      <c r="E89" s="10"/>
      <c r="F89" s="33"/>
      <c r="G89" s="10"/>
      <c r="H89" s="12"/>
      <c r="I89" s="8"/>
      <c r="J89" s="33"/>
      <c r="K89" s="10"/>
      <c r="L89" s="33"/>
      <c r="M89" s="10"/>
    </row>
    <row r="90" spans="1:13" x14ac:dyDescent="0.25">
      <c r="A90" s="62">
        <v>28764</v>
      </c>
      <c r="B90" s="9"/>
      <c r="D90" s="9"/>
      <c r="E90" s="10"/>
      <c r="F90" s="33"/>
      <c r="G90" s="10"/>
      <c r="H90" s="12"/>
      <c r="I90" s="8"/>
      <c r="J90" s="33"/>
      <c r="K90" s="10"/>
      <c r="L90" s="33"/>
      <c r="M90" s="10"/>
    </row>
    <row r="91" spans="1:13" x14ac:dyDescent="0.25">
      <c r="A91" s="62">
        <v>28795</v>
      </c>
      <c r="B91" s="9"/>
      <c r="D91" s="9"/>
      <c r="E91" s="10"/>
      <c r="F91" s="33"/>
      <c r="G91" s="10"/>
      <c r="H91" s="12"/>
      <c r="I91" s="8"/>
      <c r="J91" s="33"/>
      <c r="K91" s="10"/>
      <c r="L91" s="33"/>
      <c r="M91" s="10"/>
    </row>
    <row r="92" spans="1:13" x14ac:dyDescent="0.25">
      <c r="A92" s="62">
        <v>28825</v>
      </c>
      <c r="B92" s="9"/>
      <c r="D92" s="9"/>
      <c r="E92" s="10"/>
      <c r="F92" s="33"/>
      <c r="G92" s="10"/>
      <c r="H92" s="12"/>
      <c r="I92" s="8"/>
      <c r="J92" s="33"/>
      <c r="K92" s="10"/>
      <c r="L92" s="33"/>
      <c r="M92" s="10"/>
    </row>
    <row r="93" spans="1:13" x14ac:dyDescent="0.25">
      <c r="A93" s="62">
        <v>28856</v>
      </c>
      <c r="B93" s="9"/>
      <c r="D93" s="9"/>
      <c r="E93" s="10"/>
      <c r="F93" s="33"/>
      <c r="G93" s="10"/>
      <c r="H93" s="12"/>
      <c r="I93" s="8"/>
      <c r="J93" s="33"/>
      <c r="K93" s="10"/>
      <c r="L93" s="33"/>
      <c r="M93" s="10"/>
    </row>
    <row r="94" spans="1:13" x14ac:dyDescent="0.25">
      <c r="A94" s="62">
        <v>28887</v>
      </c>
      <c r="B94" s="9"/>
      <c r="D94" s="9"/>
      <c r="E94" s="10"/>
      <c r="F94" s="33"/>
      <c r="G94" s="10"/>
      <c r="H94" s="12"/>
      <c r="I94" s="8"/>
      <c r="J94" s="33"/>
      <c r="K94" s="10"/>
      <c r="L94" s="33"/>
      <c r="M94" s="10"/>
    </row>
    <row r="95" spans="1:13" x14ac:dyDescent="0.25">
      <c r="A95" s="62">
        <v>28915</v>
      </c>
      <c r="B95" s="9"/>
      <c r="D95" s="9"/>
      <c r="E95" s="10"/>
      <c r="F95" s="33"/>
      <c r="G95" s="10"/>
      <c r="H95" s="12"/>
      <c r="I95" s="8"/>
      <c r="J95" s="33"/>
      <c r="K95" s="10"/>
      <c r="L95" s="33"/>
      <c r="M95" s="10"/>
    </row>
    <row r="96" spans="1:13" x14ac:dyDescent="0.25">
      <c r="A96" s="62">
        <v>28946</v>
      </c>
      <c r="B96" s="9"/>
      <c r="D96" s="9"/>
      <c r="E96" s="10"/>
      <c r="F96" s="33"/>
      <c r="G96" s="10"/>
      <c r="H96" s="12"/>
      <c r="I96" s="8"/>
      <c r="J96" s="33"/>
      <c r="K96" s="10"/>
      <c r="L96" s="33"/>
      <c r="M96" s="10"/>
    </row>
    <row r="97" spans="1:13" x14ac:dyDescent="0.25">
      <c r="A97" s="62">
        <v>28976</v>
      </c>
      <c r="B97" s="9"/>
      <c r="D97" s="9"/>
      <c r="E97" s="10"/>
      <c r="F97" s="33"/>
      <c r="G97" s="10"/>
      <c r="H97" s="12"/>
      <c r="I97" s="8"/>
      <c r="J97" s="33"/>
      <c r="K97" s="10"/>
      <c r="L97" s="33"/>
      <c r="M97" s="10"/>
    </row>
    <row r="98" spans="1:13" x14ac:dyDescent="0.25">
      <c r="A98" s="62">
        <v>29007</v>
      </c>
      <c r="B98" s="9"/>
      <c r="D98" s="9"/>
      <c r="E98" s="10"/>
      <c r="F98" s="33"/>
      <c r="G98" s="10"/>
      <c r="H98" s="12"/>
      <c r="I98" s="8"/>
      <c r="J98" s="33"/>
      <c r="K98" s="10"/>
      <c r="L98" s="33"/>
      <c r="M98" s="10"/>
    </row>
    <row r="99" spans="1:13" x14ac:dyDescent="0.25">
      <c r="A99" s="62">
        <v>29037</v>
      </c>
      <c r="B99" s="9"/>
      <c r="D99" s="9"/>
      <c r="E99" s="10"/>
      <c r="F99" s="33"/>
      <c r="G99" s="10"/>
      <c r="H99" s="12"/>
      <c r="I99" s="8"/>
      <c r="J99" s="33"/>
      <c r="K99" s="10"/>
      <c r="L99" s="33"/>
      <c r="M99" s="10"/>
    </row>
    <row r="100" spans="1:13" x14ac:dyDescent="0.25">
      <c r="A100" s="62">
        <v>29068</v>
      </c>
      <c r="B100" s="9"/>
      <c r="D100" s="9"/>
      <c r="E100" s="10"/>
      <c r="F100" s="33"/>
      <c r="G100" s="10"/>
      <c r="H100" s="12"/>
      <c r="I100" s="8"/>
      <c r="J100" s="33"/>
      <c r="K100" s="10"/>
      <c r="L100" s="33"/>
      <c r="M100" s="10"/>
    </row>
    <row r="101" spans="1:13" x14ac:dyDescent="0.25">
      <c r="A101" s="62">
        <v>29099</v>
      </c>
      <c r="B101" s="9"/>
      <c r="D101" s="9"/>
      <c r="E101" s="10"/>
      <c r="F101" s="33"/>
      <c r="G101" s="10"/>
      <c r="H101" s="12"/>
      <c r="I101" s="8"/>
      <c r="J101" s="33"/>
      <c r="K101" s="10"/>
      <c r="L101" s="33"/>
      <c r="M101" s="10"/>
    </row>
    <row r="102" spans="1:13" x14ac:dyDescent="0.25">
      <c r="A102" s="62">
        <v>29129</v>
      </c>
      <c r="B102" s="9"/>
      <c r="D102" s="9"/>
      <c r="E102" s="10"/>
      <c r="F102" s="33"/>
      <c r="G102" s="10"/>
      <c r="H102" s="12"/>
      <c r="I102" s="8"/>
      <c r="J102" s="33"/>
      <c r="K102" s="10"/>
      <c r="L102" s="33"/>
      <c r="M102" s="10"/>
    </row>
    <row r="103" spans="1:13" x14ac:dyDescent="0.25">
      <c r="A103" s="62">
        <v>29160</v>
      </c>
      <c r="B103" s="9"/>
      <c r="D103" s="9"/>
      <c r="E103" s="10"/>
      <c r="F103" s="33"/>
      <c r="G103" s="10"/>
      <c r="H103" s="12"/>
      <c r="I103" s="8"/>
      <c r="J103" s="33"/>
      <c r="K103" s="10"/>
      <c r="L103" s="33"/>
      <c r="M103" s="10"/>
    </row>
    <row r="104" spans="1:13" x14ac:dyDescent="0.25">
      <c r="A104" s="62">
        <v>29190</v>
      </c>
      <c r="B104" s="9"/>
      <c r="D104" s="9"/>
      <c r="E104" s="10"/>
      <c r="F104" s="33"/>
      <c r="G104" s="10"/>
      <c r="H104" s="12"/>
      <c r="I104" s="8"/>
      <c r="J104" s="33"/>
      <c r="K104" s="10"/>
      <c r="L104" s="33"/>
      <c r="M104" s="10"/>
    </row>
    <row r="105" spans="1:13" x14ac:dyDescent="0.25">
      <c r="A105" s="62">
        <v>29221</v>
      </c>
      <c r="B105" s="9"/>
      <c r="D105" s="9"/>
      <c r="E105" s="10"/>
      <c r="F105" s="33"/>
      <c r="G105" s="10"/>
      <c r="H105" s="12"/>
      <c r="I105" s="8"/>
      <c r="J105" s="33"/>
      <c r="K105" s="10"/>
      <c r="L105" s="33"/>
      <c r="M105" s="10"/>
    </row>
    <row r="106" spans="1:13" x14ac:dyDescent="0.25">
      <c r="A106" s="62">
        <v>29252</v>
      </c>
      <c r="B106" s="9"/>
      <c r="D106" s="9"/>
      <c r="E106" s="10"/>
      <c r="F106" s="33"/>
      <c r="G106" s="10"/>
      <c r="H106" s="12"/>
      <c r="I106" s="8"/>
      <c r="J106" s="33"/>
      <c r="K106" s="10"/>
      <c r="L106" s="33"/>
      <c r="M106" s="10"/>
    </row>
    <row r="107" spans="1:13" x14ac:dyDescent="0.25">
      <c r="A107" s="62">
        <v>29281</v>
      </c>
      <c r="B107" s="9"/>
      <c r="D107" s="9"/>
      <c r="E107" s="10"/>
      <c r="F107" s="33"/>
      <c r="G107" s="10"/>
      <c r="H107" s="12"/>
      <c r="I107" s="8"/>
      <c r="J107" s="33"/>
      <c r="K107" s="10"/>
      <c r="L107" s="33"/>
      <c r="M107" s="10"/>
    </row>
    <row r="108" spans="1:13" x14ac:dyDescent="0.25">
      <c r="A108" s="62">
        <v>29312</v>
      </c>
      <c r="B108" s="9"/>
      <c r="D108" s="9"/>
      <c r="E108" s="10"/>
      <c r="F108" s="33"/>
      <c r="G108" s="10"/>
      <c r="H108" s="12"/>
      <c r="I108" s="8"/>
      <c r="J108" s="33"/>
      <c r="K108" s="10"/>
      <c r="L108" s="33"/>
      <c r="M108" s="10"/>
    </row>
    <row r="109" spans="1:13" x14ac:dyDescent="0.25">
      <c r="A109" s="62">
        <v>29342</v>
      </c>
      <c r="B109" s="9"/>
      <c r="D109" s="9"/>
      <c r="E109" s="10"/>
      <c r="F109" s="33"/>
      <c r="G109" s="10"/>
      <c r="H109" s="12"/>
      <c r="I109" s="8"/>
      <c r="J109" s="33"/>
      <c r="K109" s="10"/>
      <c r="L109" s="33"/>
      <c r="M109" s="10"/>
    </row>
    <row r="110" spans="1:13" x14ac:dyDescent="0.25">
      <c r="A110" s="62">
        <v>29373</v>
      </c>
      <c r="B110" s="9"/>
      <c r="D110" s="9"/>
      <c r="E110" s="10"/>
      <c r="F110" s="33"/>
      <c r="G110" s="10"/>
      <c r="H110" s="12"/>
      <c r="I110" s="8"/>
      <c r="J110" s="33"/>
      <c r="K110" s="10"/>
      <c r="L110" s="33"/>
      <c r="M110" s="10"/>
    </row>
    <row r="111" spans="1:13" x14ac:dyDescent="0.25">
      <c r="A111" s="62">
        <v>29403</v>
      </c>
      <c r="B111" s="9"/>
      <c r="D111" s="9"/>
      <c r="E111" s="10"/>
      <c r="F111" s="33"/>
      <c r="G111" s="10"/>
      <c r="H111" s="12"/>
      <c r="I111" s="8"/>
      <c r="J111" s="33"/>
      <c r="K111" s="10"/>
      <c r="L111" s="33"/>
      <c r="M111" s="10"/>
    </row>
    <row r="112" spans="1:13" x14ac:dyDescent="0.25">
      <c r="A112" s="62">
        <v>29434</v>
      </c>
      <c r="B112" s="9"/>
      <c r="D112" s="9"/>
      <c r="E112" s="10"/>
      <c r="F112" s="33"/>
      <c r="G112" s="10"/>
      <c r="H112" s="12"/>
      <c r="I112" s="8"/>
      <c r="J112" s="33"/>
      <c r="K112" s="10"/>
      <c r="L112" s="33"/>
      <c r="M112" s="10"/>
    </row>
    <row r="113" spans="1:13" x14ac:dyDescent="0.25">
      <c r="A113" s="62">
        <v>29465</v>
      </c>
      <c r="B113" s="9"/>
      <c r="D113" s="9"/>
      <c r="E113" s="10"/>
      <c r="F113" s="33"/>
      <c r="G113" s="10"/>
      <c r="H113" s="12"/>
      <c r="I113" s="8"/>
      <c r="J113" s="33"/>
      <c r="K113" s="10"/>
      <c r="L113" s="33"/>
      <c r="M113" s="10"/>
    </row>
    <row r="114" spans="1:13" x14ac:dyDescent="0.25">
      <c r="A114" s="62">
        <v>29495</v>
      </c>
      <c r="B114" s="9"/>
      <c r="D114" s="9"/>
      <c r="E114" s="10"/>
      <c r="F114" s="33"/>
      <c r="G114" s="10"/>
      <c r="H114" s="12"/>
      <c r="I114" s="8"/>
      <c r="J114" s="33"/>
      <c r="K114" s="10"/>
      <c r="L114" s="33"/>
      <c r="M114" s="10"/>
    </row>
    <row r="115" spans="1:13" x14ac:dyDescent="0.25">
      <c r="A115" s="62">
        <v>29526</v>
      </c>
      <c r="B115" s="9"/>
      <c r="D115" s="9"/>
      <c r="E115" s="10"/>
      <c r="F115" s="33"/>
      <c r="G115" s="10"/>
      <c r="H115" s="12"/>
      <c r="I115" s="8"/>
      <c r="J115" s="33"/>
      <c r="K115" s="10"/>
      <c r="L115" s="33"/>
      <c r="M115" s="10"/>
    </row>
    <row r="116" spans="1:13" x14ac:dyDescent="0.25">
      <c r="A116" s="62">
        <v>29556</v>
      </c>
      <c r="B116" s="9"/>
      <c r="D116" s="9"/>
      <c r="E116" s="10"/>
      <c r="F116" s="33"/>
      <c r="G116" s="10"/>
      <c r="H116" s="12"/>
      <c r="I116" s="8"/>
      <c r="J116" s="33"/>
      <c r="K116" s="10"/>
      <c r="L116" s="33"/>
      <c r="M116" s="10"/>
    </row>
    <row r="117" spans="1:13" x14ac:dyDescent="0.25">
      <c r="A117" s="62">
        <v>29587</v>
      </c>
      <c r="B117" s="9"/>
      <c r="D117" s="9"/>
      <c r="E117" s="10"/>
      <c r="F117" s="33"/>
      <c r="G117" s="10"/>
      <c r="H117" s="12"/>
      <c r="I117" s="8"/>
      <c r="J117" s="33"/>
      <c r="K117" s="10"/>
      <c r="L117" s="33"/>
      <c r="M117" s="10"/>
    </row>
    <row r="118" spans="1:13" x14ac:dyDescent="0.25">
      <c r="A118" s="62">
        <v>29618</v>
      </c>
      <c r="B118" s="9"/>
      <c r="D118" s="9"/>
      <c r="E118" s="10"/>
      <c r="F118" s="33"/>
      <c r="G118" s="10"/>
      <c r="H118" s="12"/>
      <c r="I118" s="8"/>
      <c r="J118" s="33"/>
      <c r="K118" s="10"/>
      <c r="L118" s="33"/>
      <c r="M118" s="10"/>
    </row>
    <row r="119" spans="1:13" x14ac:dyDescent="0.25">
      <c r="A119" s="62">
        <v>29646</v>
      </c>
      <c r="B119" s="9"/>
      <c r="D119" s="9"/>
      <c r="E119" s="10"/>
      <c r="F119" s="33"/>
      <c r="G119" s="10"/>
      <c r="H119" s="12"/>
      <c r="I119" s="8"/>
      <c r="J119" s="33"/>
      <c r="K119" s="10"/>
      <c r="L119" s="33"/>
      <c r="M119" s="10"/>
    </row>
    <row r="120" spans="1:13" x14ac:dyDescent="0.25">
      <c r="A120" s="62">
        <v>29677</v>
      </c>
      <c r="B120" s="9"/>
      <c r="D120" s="9"/>
      <c r="E120" s="10"/>
      <c r="F120" s="33"/>
      <c r="G120" s="10"/>
      <c r="H120" s="12"/>
      <c r="I120" s="8"/>
      <c r="J120" s="33"/>
      <c r="K120" s="10"/>
      <c r="L120" s="33"/>
      <c r="M120" s="10"/>
    </row>
    <row r="121" spans="1:13" x14ac:dyDescent="0.25">
      <c r="A121" s="62">
        <v>29707</v>
      </c>
      <c r="B121" s="9"/>
      <c r="D121" s="9"/>
      <c r="E121" s="10"/>
      <c r="F121" s="33"/>
      <c r="G121" s="10"/>
      <c r="H121" s="12"/>
      <c r="I121" s="8"/>
      <c r="J121" s="33"/>
      <c r="K121" s="10"/>
      <c r="L121" s="33"/>
      <c r="M121" s="10"/>
    </row>
    <row r="122" spans="1:13" x14ac:dyDescent="0.25">
      <c r="A122" s="62">
        <v>29738</v>
      </c>
      <c r="B122" s="9"/>
      <c r="D122" s="9"/>
      <c r="E122" s="10"/>
      <c r="F122" s="33"/>
      <c r="G122" s="10"/>
      <c r="H122" s="12"/>
      <c r="I122" s="8"/>
      <c r="J122" s="33"/>
      <c r="K122" s="10"/>
      <c r="L122" s="33"/>
      <c r="M122" s="10"/>
    </row>
    <row r="123" spans="1:13" x14ac:dyDescent="0.25">
      <c r="A123" s="62">
        <v>29768</v>
      </c>
      <c r="B123" s="9"/>
      <c r="D123" s="9"/>
      <c r="E123" s="10"/>
      <c r="F123" s="33"/>
      <c r="G123" s="10"/>
      <c r="H123" s="12"/>
      <c r="I123" s="8"/>
      <c r="J123" s="33"/>
      <c r="K123" s="10"/>
      <c r="L123" s="33"/>
      <c r="M123" s="10"/>
    </row>
    <row r="124" spans="1:13" x14ac:dyDescent="0.25">
      <c r="A124" s="62">
        <v>29799</v>
      </c>
      <c r="B124" s="9"/>
      <c r="D124" s="9"/>
      <c r="E124" s="10"/>
      <c r="F124" s="33"/>
      <c r="G124" s="10"/>
      <c r="H124" s="12"/>
      <c r="I124" s="8"/>
      <c r="J124" s="33"/>
      <c r="K124" s="10"/>
      <c r="L124" s="33"/>
      <c r="M124" s="10"/>
    </row>
    <row r="125" spans="1:13" x14ac:dyDescent="0.25">
      <c r="A125" s="62">
        <v>29830</v>
      </c>
      <c r="B125" s="9"/>
      <c r="D125" s="9"/>
      <c r="E125" s="10"/>
      <c r="F125" s="33"/>
      <c r="G125" s="10"/>
      <c r="H125" s="12"/>
      <c r="I125" s="8"/>
      <c r="J125" s="33"/>
      <c r="K125" s="10"/>
      <c r="L125" s="33"/>
      <c r="M125" s="10"/>
    </row>
    <row r="126" spans="1:13" x14ac:dyDescent="0.25">
      <c r="A126" s="62">
        <v>29860</v>
      </c>
      <c r="B126" s="9"/>
      <c r="D126" s="9"/>
      <c r="E126" s="10"/>
      <c r="F126" s="33"/>
      <c r="G126" s="10"/>
      <c r="H126" s="12"/>
      <c r="I126" s="8"/>
      <c r="J126" s="33"/>
      <c r="K126" s="10"/>
      <c r="L126" s="33"/>
      <c r="M126" s="10"/>
    </row>
    <row r="127" spans="1:13" x14ac:dyDescent="0.25">
      <c r="A127" s="62">
        <v>29891</v>
      </c>
      <c r="B127" s="9"/>
      <c r="D127" s="9"/>
      <c r="E127" s="10"/>
      <c r="F127" s="33"/>
      <c r="G127" s="10"/>
      <c r="H127" s="12"/>
      <c r="I127" s="8"/>
      <c r="J127" s="33"/>
      <c r="K127" s="10"/>
      <c r="L127" s="33"/>
      <c r="M127" s="10"/>
    </row>
    <row r="128" spans="1:13" x14ac:dyDescent="0.25">
      <c r="A128" s="62">
        <v>29921</v>
      </c>
      <c r="B128" s="9"/>
      <c r="D128" s="9"/>
      <c r="E128" s="10"/>
      <c r="F128" s="33"/>
      <c r="G128" s="10"/>
      <c r="H128" s="12"/>
      <c r="I128" s="8"/>
      <c r="J128" s="33"/>
      <c r="K128" s="10"/>
      <c r="L128" s="33"/>
      <c r="M128" s="10"/>
    </row>
    <row r="129" spans="1:13" x14ac:dyDescent="0.25">
      <c r="A129" s="62">
        <v>29952</v>
      </c>
      <c r="B129" s="9"/>
      <c r="D129" s="9"/>
      <c r="E129" s="10"/>
      <c r="F129" s="33"/>
      <c r="G129" s="10"/>
      <c r="H129" s="12"/>
      <c r="I129" s="8"/>
      <c r="J129" s="33"/>
      <c r="K129" s="10"/>
      <c r="L129" s="33"/>
      <c r="M129" s="10"/>
    </row>
    <row r="130" spans="1:13" x14ac:dyDescent="0.25">
      <c r="A130" s="62">
        <v>29983</v>
      </c>
      <c r="B130" s="9"/>
      <c r="D130" s="9"/>
      <c r="E130" s="10"/>
      <c r="F130" s="33"/>
      <c r="G130" s="10"/>
      <c r="H130" s="12"/>
      <c r="I130" s="8"/>
      <c r="J130" s="33"/>
      <c r="K130" s="10"/>
      <c r="L130" s="33"/>
      <c r="M130" s="10"/>
    </row>
    <row r="131" spans="1:13" x14ac:dyDescent="0.25">
      <c r="A131" s="62">
        <v>30011</v>
      </c>
      <c r="B131" s="9"/>
      <c r="D131" s="9"/>
      <c r="E131" s="10"/>
      <c r="F131" s="33"/>
      <c r="G131" s="10"/>
      <c r="H131" s="12"/>
      <c r="I131" s="8"/>
      <c r="J131" s="33"/>
      <c r="K131" s="10"/>
      <c r="L131" s="33"/>
      <c r="M131" s="10"/>
    </row>
    <row r="132" spans="1:13" x14ac:dyDescent="0.25">
      <c r="A132" s="62">
        <v>30042</v>
      </c>
      <c r="B132" s="9"/>
      <c r="D132" s="9"/>
      <c r="E132" s="10"/>
      <c r="F132" s="33"/>
      <c r="G132" s="10"/>
      <c r="H132" s="12"/>
      <c r="I132" s="8"/>
      <c r="J132" s="33"/>
      <c r="K132" s="10"/>
      <c r="L132" s="33"/>
      <c r="M132" s="10"/>
    </row>
    <row r="133" spans="1:13" x14ac:dyDescent="0.25">
      <c r="A133" s="62">
        <v>30072</v>
      </c>
      <c r="B133" s="9"/>
      <c r="D133" s="9"/>
      <c r="E133" s="10"/>
      <c r="F133" s="33"/>
      <c r="G133" s="10"/>
      <c r="H133" s="12"/>
      <c r="I133" s="8"/>
      <c r="J133" s="33"/>
      <c r="K133" s="10"/>
      <c r="L133" s="33"/>
      <c r="M133" s="10"/>
    </row>
    <row r="134" spans="1:13" x14ac:dyDescent="0.25">
      <c r="A134" s="62">
        <v>30103</v>
      </c>
      <c r="B134" s="9"/>
      <c r="D134" s="9"/>
      <c r="E134" s="10"/>
      <c r="F134" s="33"/>
      <c r="G134" s="10"/>
      <c r="H134" s="12"/>
      <c r="I134" s="8"/>
      <c r="J134" s="33"/>
      <c r="K134" s="10"/>
      <c r="L134" s="33"/>
      <c r="M134" s="10"/>
    </row>
    <row r="135" spans="1:13" x14ac:dyDescent="0.25">
      <c r="A135" s="62">
        <v>30133</v>
      </c>
      <c r="B135" s="9"/>
      <c r="D135" s="9"/>
      <c r="E135" s="10"/>
      <c r="F135" s="33"/>
      <c r="G135" s="10"/>
      <c r="H135" s="12"/>
      <c r="I135" s="8"/>
      <c r="J135" s="33"/>
      <c r="K135" s="10"/>
      <c r="L135" s="33"/>
      <c r="M135" s="10"/>
    </row>
    <row r="136" spans="1:13" x14ac:dyDescent="0.25">
      <c r="A136" s="62">
        <v>30164</v>
      </c>
      <c r="B136" s="9"/>
      <c r="D136" s="9"/>
      <c r="E136" s="10"/>
      <c r="F136" s="33"/>
      <c r="G136" s="10"/>
      <c r="H136" s="12"/>
      <c r="I136" s="8"/>
      <c r="J136" s="33"/>
      <c r="K136" s="10"/>
      <c r="L136" s="33"/>
      <c r="M136" s="10"/>
    </row>
    <row r="137" spans="1:13" x14ac:dyDescent="0.25">
      <c r="A137" s="62">
        <v>30195</v>
      </c>
      <c r="B137" s="9"/>
      <c r="D137" s="9"/>
      <c r="E137" s="10"/>
      <c r="F137" s="33"/>
      <c r="G137" s="10"/>
      <c r="H137" s="12"/>
      <c r="I137" s="8"/>
      <c r="J137" s="33"/>
      <c r="K137" s="10"/>
      <c r="L137" s="33"/>
      <c r="M137" s="10"/>
    </row>
    <row r="138" spans="1:13" x14ac:dyDescent="0.25">
      <c r="A138" s="62">
        <v>30225</v>
      </c>
      <c r="B138" s="9"/>
      <c r="D138" s="9"/>
      <c r="E138" s="10"/>
      <c r="F138" s="33"/>
      <c r="G138" s="10"/>
      <c r="H138" s="12"/>
      <c r="I138" s="8"/>
      <c r="J138" s="33"/>
      <c r="K138" s="10"/>
      <c r="L138" s="33"/>
      <c r="M138" s="10"/>
    </row>
    <row r="139" spans="1:13" x14ac:dyDescent="0.25">
      <c r="A139" s="62">
        <v>30256</v>
      </c>
      <c r="B139" s="9"/>
      <c r="D139" s="9"/>
      <c r="E139" s="10"/>
      <c r="F139" s="33"/>
      <c r="G139" s="10"/>
      <c r="H139" s="12"/>
      <c r="I139" s="8"/>
      <c r="J139" s="33"/>
      <c r="K139" s="10"/>
      <c r="L139" s="33"/>
      <c r="M139" s="10"/>
    </row>
    <row r="140" spans="1:13" x14ac:dyDescent="0.25">
      <c r="A140" s="62">
        <v>30286</v>
      </c>
      <c r="B140" s="9"/>
      <c r="D140" s="9"/>
      <c r="E140" s="10"/>
      <c r="F140" s="33"/>
      <c r="G140" s="10"/>
      <c r="H140" s="12"/>
      <c r="I140" s="8"/>
      <c r="J140" s="33"/>
      <c r="K140" s="10"/>
      <c r="L140" s="33"/>
      <c r="M140" s="10"/>
    </row>
    <row r="141" spans="1:13" x14ac:dyDescent="0.25">
      <c r="A141" s="62">
        <v>30317</v>
      </c>
      <c r="B141" s="9"/>
      <c r="D141" s="9"/>
      <c r="E141" s="10"/>
      <c r="F141" s="33"/>
      <c r="G141" s="33"/>
      <c r="H141" s="12"/>
      <c r="I141" s="8"/>
      <c r="J141" s="33"/>
      <c r="K141" s="10"/>
      <c r="L141" s="33"/>
      <c r="M141" s="10"/>
    </row>
    <row r="142" spans="1:13" x14ac:dyDescent="0.25">
      <c r="A142" s="62">
        <v>30348</v>
      </c>
      <c r="B142" s="9"/>
      <c r="D142" s="9"/>
      <c r="E142" s="10"/>
      <c r="F142" s="10"/>
      <c r="G142" s="33"/>
      <c r="H142" s="12"/>
      <c r="I142" s="8"/>
      <c r="J142" s="33"/>
      <c r="K142" s="10"/>
      <c r="L142" s="33"/>
      <c r="M142" s="10"/>
    </row>
    <row r="143" spans="1:13" x14ac:dyDescent="0.25">
      <c r="A143" s="62">
        <v>30376</v>
      </c>
      <c r="B143" s="9"/>
      <c r="D143" s="9"/>
      <c r="E143" s="10"/>
      <c r="F143" s="10"/>
      <c r="G143" s="33"/>
      <c r="H143" s="12"/>
      <c r="I143" s="8"/>
      <c r="J143" s="33"/>
      <c r="K143" s="10"/>
      <c r="L143" s="33"/>
      <c r="M143" s="10"/>
    </row>
    <row r="144" spans="1:13" x14ac:dyDescent="0.25">
      <c r="A144" s="62">
        <v>30407</v>
      </c>
      <c r="B144" s="9"/>
      <c r="D144" s="9"/>
      <c r="E144" s="10"/>
      <c r="F144" s="10"/>
      <c r="G144" s="33"/>
      <c r="H144" s="12"/>
      <c r="I144" s="8"/>
      <c r="J144" s="33"/>
      <c r="K144" s="10"/>
      <c r="L144" s="33"/>
      <c r="M144" s="10"/>
    </row>
    <row r="145" spans="1:13" x14ac:dyDescent="0.25">
      <c r="A145" s="62">
        <v>30437</v>
      </c>
      <c r="B145" s="9"/>
      <c r="D145" s="9"/>
      <c r="E145" s="10"/>
      <c r="F145" s="10"/>
      <c r="G145" s="33"/>
      <c r="H145" s="12"/>
      <c r="I145" s="8"/>
      <c r="J145" s="33"/>
      <c r="K145" s="10"/>
      <c r="L145" s="33"/>
      <c r="M145" s="10"/>
    </row>
    <row r="146" spans="1:13" x14ac:dyDescent="0.25">
      <c r="A146" s="62">
        <v>30468</v>
      </c>
      <c r="B146" s="9"/>
      <c r="D146" s="9"/>
      <c r="E146" s="10"/>
      <c r="F146" s="10"/>
      <c r="G146" s="33"/>
      <c r="H146" s="12"/>
      <c r="I146" s="8"/>
      <c r="J146" s="33"/>
      <c r="K146" s="10"/>
      <c r="L146" s="33"/>
      <c r="M146" s="10"/>
    </row>
    <row r="147" spans="1:13" x14ac:dyDescent="0.25">
      <c r="A147" s="62">
        <v>30498</v>
      </c>
      <c r="B147" s="9"/>
      <c r="D147" s="9"/>
      <c r="E147" s="10"/>
      <c r="F147" s="10"/>
      <c r="G147" s="33"/>
      <c r="H147" s="12"/>
      <c r="I147" s="8"/>
      <c r="J147" s="33"/>
      <c r="K147" s="10"/>
      <c r="L147" s="33"/>
      <c r="M147" s="10"/>
    </row>
    <row r="148" spans="1:13" x14ac:dyDescent="0.25">
      <c r="A148" s="62">
        <v>30529</v>
      </c>
      <c r="B148" s="9"/>
      <c r="D148" s="9"/>
      <c r="E148" s="10"/>
      <c r="F148" s="10"/>
      <c r="G148" s="33"/>
      <c r="H148" s="12"/>
      <c r="I148" s="8"/>
      <c r="J148" s="33"/>
      <c r="K148" s="10"/>
      <c r="L148" s="33"/>
      <c r="M148" s="10"/>
    </row>
    <row r="149" spans="1:13" x14ac:dyDescent="0.25">
      <c r="A149" s="62">
        <v>30560</v>
      </c>
      <c r="B149" s="9"/>
      <c r="D149" s="9"/>
      <c r="E149" s="10"/>
      <c r="F149" s="10"/>
      <c r="G149" s="33"/>
      <c r="H149" s="12"/>
      <c r="I149" s="8"/>
      <c r="J149" s="33"/>
      <c r="K149" s="10"/>
      <c r="L149" s="33"/>
      <c r="M149" s="10"/>
    </row>
    <row r="150" spans="1:13" x14ac:dyDescent="0.25">
      <c r="A150" s="62">
        <v>30590</v>
      </c>
      <c r="B150" s="9"/>
      <c r="D150" s="9"/>
      <c r="E150" s="10"/>
      <c r="F150" s="10"/>
      <c r="G150" s="33"/>
      <c r="H150" s="12"/>
      <c r="I150" s="8"/>
      <c r="J150" s="33"/>
      <c r="K150" s="10"/>
      <c r="L150" s="33"/>
      <c r="M150" s="10"/>
    </row>
    <row r="151" spans="1:13" x14ac:dyDescent="0.25">
      <c r="A151" s="62">
        <v>30621</v>
      </c>
      <c r="B151" s="9"/>
      <c r="D151" s="9"/>
      <c r="E151" s="10"/>
      <c r="F151" s="10"/>
      <c r="G151" s="33"/>
      <c r="H151" s="12"/>
      <c r="I151" s="8"/>
      <c r="J151" s="33"/>
      <c r="K151" s="10"/>
      <c r="L151" s="33"/>
      <c r="M151" s="10"/>
    </row>
    <row r="152" spans="1:13" x14ac:dyDescent="0.25">
      <c r="A152" s="62">
        <v>30651</v>
      </c>
      <c r="B152" s="9"/>
      <c r="D152" s="9"/>
      <c r="E152" s="10"/>
      <c r="F152" s="10"/>
      <c r="G152" s="33"/>
      <c r="H152" s="12"/>
      <c r="I152" s="8"/>
      <c r="J152" s="33"/>
      <c r="K152" s="10"/>
      <c r="L152" s="33"/>
      <c r="M152" s="10"/>
    </row>
    <row r="153" spans="1:13" x14ac:dyDescent="0.25">
      <c r="A153" s="62">
        <v>30682</v>
      </c>
      <c r="B153" s="9"/>
      <c r="D153" s="9"/>
      <c r="E153" s="10"/>
      <c r="F153" s="33"/>
      <c r="G153" s="33"/>
      <c r="H153" s="12"/>
      <c r="I153" s="8"/>
      <c r="J153" s="33"/>
      <c r="K153" s="10"/>
      <c r="L153" s="33"/>
      <c r="M153" s="10"/>
    </row>
    <row r="154" spans="1:13" x14ac:dyDescent="0.25">
      <c r="A154" s="62">
        <v>30713</v>
      </c>
      <c r="B154" s="9"/>
      <c r="D154" s="9"/>
      <c r="E154" s="10"/>
      <c r="F154" s="33"/>
      <c r="G154" s="33"/>
      <c r="H154" s="12"/>
      <c r="I154" s="8"/>
      <c r="J154" s="33"/>
      <c r="K154" s="10"/>
      <c r="L154" s="33"/>
      <c r="M154" s="10"/>
    </row>
    <row r="155" spans="1:13" x14ac:dyDescent="0.25">
      <c r="A155" s="62">
        <v>30742</v>
      </c>
      <c r="B155" s="9"/>
      <c r="D155" s="9"/>
      <c r="E155" s="10"/>
      <c r="F155" s="33"/>
      <c r="G155" s="33"/>
      <c r="H155" s="12"/>
      <c r="I155" s="8"/>
      <c r="J155" s="33"/>
      <c r="K155" s="10"/>
      <c r="L155" s="33"/>
      <c r="M155" s="10"/>
    </row>
    <row r="156" spans="1:13" x14ac:dyDescent="0.25">
      <c r="A156" s="62">
        <v>30773</v>
      </c>
      <c r="B156" s="9"/>
      <c r="D156" s="9"/>
      <c r="E156" s="10"/>
      <c r="F156" s="33"/>
      <c r="G156" s="33"/>
      <c r="H156" s="12"/>
      <c r="I156" s="8"/>
      <c r="J156" s="33"/>
      <c r="K156" s="10"/>
      <c r="L156" s="33"/>
      <c r="M156" s="10"/>
    </row>
    <row r="157" spans="1:13" x14ac:dyDescent="0.25">
      <c r="A157" s="62">
        <v>30803</v>
      </c>
      <c r="B157" s="9"/>
      <c r="D157" s="9"/>
      <c r="E157" s="10"/>
      <c r="F157" s="33"/>
      <c r="G157" s="33"/>
      <c r="H157" s="12"/>
      <c r="I157" s="8"/>
      <c r="J157" s="33"/>
      <c r="K157" s="10"/>
      <c r="L157" s="33"/>
      <c r="M157" s="10"/>
    </row>
    <row r="158" spans="1:13" x14ac:dyDescent="0.25">
      <c r="A158" s="62">
        <v>30834</v>
      </c>
      <c r="B158" s="9"/>
      <c r="D158" s="9"/>
      <c r="E158" s="10"/>
      <c r="F158" s="33"/>
      <c r="G158" s="33"/>
      <c r="H158" s="12"/>
      <c r="I158" s="8"/>
      <c r="J158" s="33"/>
      <c r="K158" s="10"/>
      <c r="L158" s="33"/>
      <c r="M158" s="10"/>
    </row>
    <row r="159" spans="1:13" x14ac:dyDescent="0.25">
      <c r="A159" s="62">
        <v>30864</v>
      </c>
      <c r="B159" s="9"/>
      <c r="D159" s="9"/>
      <c r="E159" s="10"/>
      <c r="F159" s="33"/>
      <c r="G159" s="33"/>
      <c r="H159" s="12"/>
      <c r="I159" s="8"/>
      <c r="J159" s="33"/>
      <c r="K159" s="10"/>
      <c r="L159" s="33"/>
      <c r="M159" s="10"/>
    </row>
    <row r="160" spans="1:13" x14ac:dyDescent="0.25">
      <c r="A160" s="62">
        <v>30895</v>
      </c>
      <c r="B160" s="9"/>
      <c r="D160" s="9"/>
      <c r="E160" s="10"/>
      <c r="F160" s="33"/>
      <c r="G160" s="33"/>
      <c r="H160" s="12"/>
      <c r="I160" s="8"/>
      <c r="J160" s="33"/>
      <c r="K160" s="10"/>
      <c r="L160" s="33"/>
      <c r="M160" s="10"/>
    </row>
    <row r="161" spans="1:13" x14ac:dyDescent="0.25">
      <c r="A161" s="62">
        <v>30926</v>
      </c>
      <c r="B161" s="9"/>
      <c r="D161" s="9"/>
      <c r="E161" s="10"/>
      <c r="F161" s="33"/>
      <c r="G161" s="33"/>
      <c r="H161" s="12"/>
      <c r="I161" s="8"/>
      <c r="J161" s="33"/>
      <c r="K161" s="10"/>
      <c r="L161" s="33"/>
      <c r="M161" s="10"/>
    </row>
    <row r="162" spans="1:13" x14ac:dyDescent="0.25">
      <c r="A162" s="62">
        <v>30956</v>
      </c>
      <c r="B162" s="9"/>
      <c r="D162" s="9"/>
      <c r="E162" s="10"/>
      <c r="F162" s="33"/>
      <c r="G162" s="33"/>
      <c r="H162" s="12"/>
      <c r="I162" s="8"/>
      <c r="J162" s="33"/>
      <c r="K162" s="10"/>
      <c r="L162" s="33"/>
      <c r="M162" s="10"/>
    </row>
    <row r="163" spans="1:13" x14ac:dyDescent="0.25">
      <c r="A163" s="62">
        <v>30987</v>
      </c>
      <c r="B163" s="9"/>
      <c r="D163" s="9"/>
      <c r="E163" s="10"/>
      <c r="F163" s="33"/>
      <c r="G163" s="33"/>
      <c r="H163" s="12"/>
      <c r="I163" s="8"/>
      <c r="J163" s="33"/>
      <c r="K163" s="10"/>
      <c r="L163" s="33"/>
      <c r="M163" s="10"/>
    </row>
    <row r="164" spans="1:13" x14ac:dyDescent="0.25">
      <c r="A164" s="62">
        <v>31017</v>
      </c>
      <c r="B164" s="9"/>
      <c r="D164" s="9"/>
      <c r="E164" s="10"/>
      <c r="F164" s="33"/>
      <c r="G164" s="33"/>
      <c r="H164" s="12"/>
      <c r="I164" s="8"/>
      <c r="J164" s="33"/>
      <c r="K164" s="10"/>
      <c r="L164" s="33"/>
      <c r="M164" s="10"/>
    </row>
    <row r="165" spans="1:13" x14ac:dyDescent="0.25">
      <c r="A165" s="62">
        <v>31048</v>
      </c>
      <c r="B165" s="9"/>
      <c r="D165" s="9"/>
      <c r="E165" s="10"/>
      <c r="F165" s="33"/>
      <c r="G165" s="33"/>
      <c r="H165" s="12"/>
      <c r="I165" s="8"/>
      <c r="J165" s="33"/>
      <c r="K165" s="10"/>
      <c r="L165" s="33"/>
      <c r="M165" s="10"/>
    </row>
    <row r="166" spans="1:13" x14ac:dyDescent="0.25">
      <c r="A166" s="62">
        <v>31079</v>
      </c>
      <c r="B166" s="9"/>
      <c r="D166" s="9"/>
      <c r="E166" s="10"/>
      <c r="F166" s="33"/>
      <c r="G166" s="33"/>
      <c r="H166" s="12"/>
      <c r="I166" s="8"/>
      <c r="J166" s="33"/>
      <c r="K166" s="10"/>
      <c r="L166" s="33"/>
      <c r="M166" s="10"/>
    </row>
    <row r="167" spans="1:13" x14ac:dyDescent="0.25">
      <c r="A167" s="62">
        <v>31107</v>
      </c>
      <c r="B167" s="9"/>
      <c r="D167" s="9"/>
      <c r="E167" s="10"/>
      <c r="F167" s="33"/>
      <c r="G167" s="33"/>
      <c r="H167" s="12"/>
      <c r="I167" s="8"/>
      <c r="J167" s="33"/>
      <c r="K167" s="10"/>
      <c r="L167" s="33"/>
      <c r="M167" s="10"/>
    </row>
    <row r="168" spans="1:13" x14ac:dyDescent="0.25">
      <c r="A168" s="62">
        <v>31138</v>
      </c>
      <c r="B168" s="9"/>
      <c r="D168" s="9"/>
      <c r="E168" s="10"/>
      <c r="F168" s="33"/>
      <c r="G168" s="33"/>
      <c r="H168" s="12"/>
      <c r="I168" s="8"/>
      <c r="J168" s="33"/>
      <c r="K168" s="10"/>
      <c r="L168" s="33"/>
      <c r="M168" s="10"/>
    </row>
    <row r="169" spans="1:13" x14ac:dyDescent="0.25">
      <c r="A169" s="62">
        <v>31168</v>
      </c>
      <c r="B169" s="9"/>
      <c r="D169" s="9"/>
      <c r="E169" s="10"/>
      <c r="F169" s="33"/>
      <c r="G169" s="33"/>
      <c r="H169" s="12"/>
      <c r="I169" s="8"/>
      <c r="J169" s="33"/>
      <c r="K169" s="10"/>
      <c r="L169" s="33"/>
      <c r="M169" s="10"/>
    </row>
    <row r="170" spans="1:13" x14ac:dyDescent="0.25">
      <c r="A170" s="62">
        <v>31199</v>
      </c>
      <c r="B170" s="9"/>
      <c r="D170" s="9"/>
      <c r="E170" s="10"/>
      <c r="F170" s="33"/>
      <c r="G170" s="33"/>
      <c r="H170" s="12"/>
      <c r="I170" s="8"/>
      <c r="J170" s="33"/>
      <c r="K170" s="10"/>
      <c r="L170" s="33"/>
      <c r="M170" s="10"/>
    </row>
    <row r="171" spans="1:13" x14ac:dyDescent="0.25">
      <c r="A171" s="62">
        <v>31229</v>
      </c>
      <c r="B171" s="9"/>
      <c r="D171" s="9"/>
      <c r="E171" s="10"/>
      <c r="F171" s="33"/>
      <c r="G171" s="33"/>
      <c r="H171" s="12"/>
      <c r="I171" s="8"/>
      <c r="J171" s="33"/>
      <c r="K171" s="10"/>
      <c r="L171" s="33"/>
      <c r="M171" s="10"/>
    </row>
    <row r="172" spans="1:13" x14ac:dyDescent="0.25">
      <c r="A172" s="62">
        <v>31260</v>
      </c>
      <c r="B172" s="9"/>
      <c r="D172" s="9"/>
      <c r="E172" s="10"/>
      <c r="F172" s="33"/>
      <c r="G172" s="33"/>
      <c r="H172" s="12"/>
      <c r="I172" s="8"/>
      <c r="J172" s="33"/>
      <c r="K172" s="10"/>
      <c r="L172" s="33"/>
      <c r="M172" s="10"/>
    </row>
    <row r="173" spans="1:13" x14ac:dyDescent="0.25">
      <c r="A173" s="62">
        <v>31291</v>
      </c>
      <c r="B173" s="9"/>
      <c r="D173" s="9"/>
      <c r="E173" s="10"/>
      <c r="F173" s="33"/>
      <c r="G173" s="33"/>
      <c r="H173" s="12"/>
      <c r="I173" s="8"/>
      <c r="J173" s="33"/>
      <c r="K173" s="10"/>
      <c r="L173" s="33"/>
      <c r="M173" s="10"/>
    </row>
    <row r="174" spans="1:13" x14ac:dyDescent="0.25">
      <c r="A174" s="62">
        <v>31321</v>
      </c>
      <c r="B174" s="9"/>
      <c r="D174" s="9"/>
      <c r="E174" s="10"/>
      <c r="F174" s="33"/>
      <c r="G174" s="33"/>
      <c r="H174" s="12"/>
      <c r="I174" s="8"/>
      <c r="J174" s="33"/>
      <c r="K174" s="10"/>
      <c r="L174" s="33"/>
      <c r="M174" s="10"/>
    </row>
    <row r="175" spans="1:13" x14ac:dyDescent="0.25">
      <c r="A175" s="62">
        <v>31352</v>
      </c>
      <c r="B175" s="9"/>
      <c r="D175" s="9"/>
      <c r="E175" s="10"/>
      <c r="F175" s="33"/>
      <c r="G175" s="33"/>
      <c r="H175" s="12"/>
      <c r="I175" s="8"/>
      <c r="J175" s="33"/>
      <c r="K175" s="10"/>
      <c r="L175" s="33"/>
      <c r="M175" s="10"/>
    </row>
    <row r="176" spans="1:13" x14ac:dyDescent="0.25">
      <c r="A176" s="62">
        <v>31382</v>
      </c>
      <c r="B176" s="9"/>
      <c r="D176" s="9"/>
      <c r="E176" s="10"/>
      <c r="F176" s="33"/>
      <c r="G176" s="33"/>
      <c r="H176" s="12"/>
      <c r="I176" s="8"/>
      <c r="J176" s="33"/>
      <c r="K176" s="10"/>
      <c r="L176" s="33"/>
      <c r="M176" s="10"/>
    </row>
    <row r="177" spans="1:13" x14ac:dyDescent="0.25">
      <c r="A177" s="62">
        <v>31413</v>
      </c>
      <c r="B177" s="9"/>
      <c r="D177" s="9"/>
      <c r="E177" s="10"/>
      <c r="F177" s="33"/>
      <c r="G177" s="33"/>
      <c r="H177" s="12"/>
      <c r="I177" s="8"/>
      <c r="J177" s="33"/>
      <c r="K177" s="10"/>
      <c r="L177" s="33"/>
      <c r="M177" s="10"/>
    </row>
    <row r="178" spans="1:13" x14ac:dyDescent="0.25">
      <c r="A178" s="62">
        <v>31444</v>
      </c>
      <c r="B178" s="9"/>
      <c r="D178" s="9"/>
      <c r="E178" s="10"/>
      <c r="F178" s="33"/>
      <c r="G178" s="33"/>
      <c r="H178" s="12"/>
      <c r="I178" s="8"/>
      <c r="J178" s="33"/>
      <c r="K178" s="10"/>
      <c r="L178" s="33"/>
      <c r="M178" s="10"/>
    </row>
    <row r="179" spans="1:13" x14ac:dyDescent="0.25">
      <c r="A179" s="62">
        <v>31472</v>
      </c>
      <c r="B179" s="9"/>
      <c r="D179" s="9"/>
      <c r="E179" s="10"/>
      <c r="F179" s="33"/>
      <c r="G179" s="33"/>
      <c r="H179" s="12"/>
      <c r="I179" s="8"/>
      <c r="J179" s="33"/>
      <c r="K179" s="10"/>
      <c r="L179" s="33"/>
      <c r="M179" s="10"/>
    </row>
    <row r="180" spans="1:13" x14ac:dyDescent="0.25">
      <c r="A180" s="62">
        <v>31503</v>
      </c>
      <c r="B180" s="9"/>
      <c r="D180" s="9"/>
      <c r="E180" s="10"/>
      <c r="F180" s="33"/>
      <c r="G180" s="33"/>
      <c r="H180" s="12"/>
      <c r="I180" s="8"/>
      <c r="J180" s="33"/>
      <c r="K180" s="10"/>
      <c r="L180" s="33"/>
      <c r="M180" s="10"/>
    </row>
    <row r="181" spans="1:13" x14ac:dyDescent="0.25">
      <c r="A181" s="62">
        <v>31533</v>
      </c>
      <c r="B181" s="9"/>
      <c r="D181" s="9"/>
      <c r="E181" s="10"/>
      <c r="F181" s="33"/>
      <c r="G181" s="33"/>
      <c r="H181" s="12"/>
      <c r="I181" s="8"/>
      <c r="J181" s="33"/>
      <c r="K181" s="10"/>
      <c r="L181" s="33"/>
      <c r="M181" s="10"/>
    </row>
    <row r="182" spans="1:13" x14ac:dyDescent="0.25">
      <c r="A182" s="62">
        <v>31564</v>
      </c>
      <c r="B182" s="9"/>
      <c r="D182" s="9"/>
      <c r="E182" s="10"/>
      <c r="F182" s="33"/>
      <c r="G182" s="33"/>
      <c r="H182" s="12"/>
      <c r="I182" s="8"/>
      <c r="J182" s="33"/>
      <c r="K182" s="10"/>
      <c r="L182" s="33"/>
      <c r="M182" s="10"/>
    </row>
    <row r="183" spans="1:13" x14ac:dyDescent="0.25">
      <c r="A183" s="62">
        <v>31594</v>
      </c>
      <c r="B183" s="9"/>
      <c r="D183" s="9"/>
      <c r="E183" s="10"/>
      <c r="F183" s="33"/>
      <c r="G183" s="33"/>
      <c r="H183" s="12"/>
      <c r="I183" s="8"/>
      <c r="J183" s="33"/>
      <c r="K183" s="10"/>
      <c r="L183" s="33"/>
      <c r="M183" s="10"/>
    </row>
    <row r="184" spans="1:13" x14ac:dyDescent="0.25">
      <c r="A184" s="62">
        <v>31625</v>
      </c>
      <c r="B184" s="9"/>
      <c r="D184" s="9"/>
      <c r="E184" s="10"/>
      <c r="F184" s="33"/>
      <c r="G184" s="33"/>
      <c r="H184" s="12"/>
      <c r="I184" s="8"/>
      <c r="J184" s="33"/>
      <c r="K184" s="10"/>
      <c r="L184" s="33"/>
      <c r="M184" s="10"/>
    </row>
    <row r="185" spans="1:13" x14ac:dyDescent="0.25">
      <c r="A185" s="62">
        <v>31656</v>
      </c>
      <c r="B185" s="9"/>
      <c r="D185" s="9"/>
      <c r="E185" s="10"/>
      <c r="F185" s="33"/>
      <c r="G185" s="33"/>
      <c r="H185" s="12"/>
      <c r="I185" s="8"/>
      <c r="J185" s="33"/>
      <c r="K185" s="10"/>
      <c r="L185" s="33"/>
      <c r="M185" s="10"/>
    </row>
    <row r="186" spans="1:13" x14ac:dyDescent="0.25">
      <c r="A186" s="62">
        <v>31686</v>
      </c>
      <c r="B186" s="9"/>
      <c r="D186" s="9"/>
      <c r="E186" s="10"/>
      <c r="F186" s="33"/>
      <c r="G186" s="33"/>
      <c r="H186" s="12"/>
      <c r="I186" s="8"/>
      <c r="J186" s="33"/>
      <c r="K186" s="10"/>
      <c r="L186" s="33"/>
      <c r="M186" s="10"/>
    </row>
    <row r="187" spans="1:13" x14ac:dyDescent="0.25">
      <c r="A187" s="62">
        <v>31717</v>
      </c>
      <c r="B187" s="9"/>
      <c r="D187" s="9"/>
      <c r="E187" s="10"/>
      <c r="F187" s="33"/>
      <c r="G187" s="33"/>
      <c r="H187" s="12"/>
      <c r="I187" s="8"/>
      <c r="J187" s="33"/>
      <c r="K187" s="10"/>
      <c r="L187" s="33"/>
      <c r="M187" s="10"/>
    </row>
    <row r="188" spans="1:13" x14ac:dyDescent="0.25">
      <c r="A188" s="62">
        <v>31747</v>
      </c>
      <c r="B188" s="9"/>
      <c r="D188" s="9"/>
      <c r="E188" s="10"/>
      <c r="F188" s="33"/>
      <c r="G188" s="33"/>
      <c r="H188" s="12"/>
      <c r="I188" s="8"/>
      <c r="J188" s="33"/>
      <c r="K188" s="10"/>
      <c r="L188" s="33"/>
      <c r="M188" s="10"/>
    </row>
    <row r="189" spans="1:13" x14ac:dyDescent="0.25">
      <c r="A189" s="62">
        <v>31778</v>
      </c>
      <c r="B189" s="9"/>
      <c r="D189" s="9"/>
      <c r="E189" s="10"/>
      <c r="F189" s="33"/>
      <c r="G189" s="33"/>
      <c r="H189" s="12"/>
      <c r="I189" s="8"/>
      <c r="J189" s="33"/>
      <c r="K189" s="10"/>
      <c r="L189" s="33"/>
      <c r="M189" s="10"/>
    </row>
    <row r="190" spans="1:13" x14ac:dyDescent="0.25">
      <c r="A190" s="62">
        <v>31809</v>
      </c>
      <c r="B190" s="9"/>
      <c r="D190" s="9"/>
      <c r="E190" s="10"/>
      <c r="F190" s="33"/>
      <c r="G190" s="33"/>
      <c r="H190" s="12"/>
      <c r="I190" s="8"/>
      <c r="J190" s="33"/>
      <c r="K190" s="10"/>
      <c r="L190" s="33"/>
      <c r="M190" s="10"/>
    </row>
    <row r="191" spans="1:13" x14ac:dyDescent="0.25">
      <c r="A191" s="62">
        <v>31837</v>
      </c>
      <c r="B191" s="9"/>
      <c r="D191" s="9"/>
      <c r="E191" s="10"/>
      <c r="F191" s="33"/>
      <c r="G191" s="33"/>
      <c r="H191" s="12"/>
      <c r="I191" s="8"/>
      <c r="J191" s="33"/>
      <c r="K191" s="10"/>
      <c r="L191" s="33"/>
      <c r="M191" s="10"/>
    </row>
    <row r="192" spans="1:13" x14ac:dyDescent="0.25">
      <c r="A192" s="62">
        <v>31868</v>
      </c>
      <c r="B192" s="9"/>
      <c r="D192" s="9"/>
      <c r="E192" s="10"/>
      <c r="F192" s="33"/>
      <c r="G192" s="33"/>
      <c r="H192" s="12"/>
      <c r="I192" s="8"/>
      <c r="J192" s="33"/>
      <c r="K192" s="10"/>
      <c r="L192" s="33"/>
      <c r="M192" s="10"/>
    </row>
    <row r="193" spans="1:13" x14ac:dyDescent="0.25">
      <c r="A193" s="62">
        <v>31898</v>
      </c>
      <c r="B193" s="9"/>
      <c r="D193" s="9"/>
      <c r="E193" s="10"/>
      <c r="F193" s="33"/>
      <c r="G193" s="33"/>
      <c r="H193" s="12"/>
      <c r="I193" s="8"/>
      <c r="J193" s="33"/>
      <c r="K193" s="10"/>
      <c r="L193" s="33"/>
      <c r="M193" s="10"/>
    </row>
    <row r="194" spans="1:13" x14ac:dyDescent="0.25">
      <c r="A194" s="62">
        <v>31929</v>
      </c>
      <c r="B194" s="9"/>
      <c r="D194" s="9"/>
      <c r="E194" s="10"/>
      <c r="F194" s="33"/>
      <c r="G194" s="33"/>
      <c r="H194" s="12"/>
      <c r="I194" s="8"/>
      <c r="J194" s="33"/>
      <c r="K194" s="10"/>
      <c r="L194" s="33"/>
      <c r="M194" s="10"/>
    </row>
    <row r="195" spans="1:13" x14ac:dyDescent="0.25">
      <c r="A195" s="62">
        <v>31959</v>
      </c>
      <c r="B195" s="9"/>
      <c r="D195" s="9"/>
      <c r="E195" s="10"/>
      <c r="F195" s="33"/>
      <c r="G195" s="33"/>
      <c r="H195" s="12"/>
      <c r="I195" s="8"/>
      <c r="J195" s="33"/>
      <c r="K195" s="10"/>
      <c r="L195" s="33"/>
      <c r="M195" s="10"/>
    </row>
    <row r="196" spans="1:13" x14ac:dyDescent="0.25">
      <c r="A196" s="62">
        <v>31990</v>
      </c>
      <c r="B196" s="9"/>
      <c r="D196" s="9"/>
      <c r="E196" s="10"/>
      <c r="F196" s="33"/>
      <c r="G196" s="33"/>
      <c r="H196" s="12"/>
      <c r="I196" s="8"/>
      <c r="J196" s="33"/>
      <c r="K196" s="10"/>
      <c r="L196" s="33"/>
      <c r="M196" s="10"/>
    </row>
    <row r="197" spans="1:13" x14ac:dyDescent="0.25">
      <c r="A197" s="62">
        <v>32021</v>
      </c>
      <c r="B197" s="9"/>
      <c r="D197" s="9"/>
      <c r="E197" s="10"/>
      <c r="F197" s="33"/>
      <c r="G197" s="33"/>
      <c r="H197" s="12"/>
      <c r="I197" s="8"/>
      <c r="J197" s="33"/>
      <c r="K197" s="10"/>
      <c r="L197" s="33"/>
      <c r="M197" s="10"/>
    </row>
    <row r="198" spans="1:13" x14ac:dyDescent="0.25">
      <c r="A198" s="62">
        <v>32051</v>
      </c>
      <c r="B198" s="9"/>
      <c r="D198" s="9"/>
      <c r="E198" s="10"/>
      <c r="F198" s="33"/>
      <c r="G198" s="33"/>
      <c r="H198" s="12"/>
      <c r="I198" s="8"/>
      <c r="J198" s="33"/>
      <c r="K198" s="10"/>
      <c r="L198" s="33"/>
      <c r="M198" s="10"/>
    </row>
    <row r="199" spans="1:13" x14ac:dyDescent="0.25">
      <c r="A199" s="62">
        <v>32082</v>
      </c>
      <c r="B199" s="9"/>
      <c r="D199" s="9"/>
      <c r="E199" s="10"/>
      <c r="F199" s="33"/>
      <c r="G199" s="33"/>
      <c r="H199" s="12"/>
      <c r="I199" s="8"/>
      <c r="J199" s="33"/>
      <c r="K199" s="10"/>
      <c r="L199" s="33"/>
      <c r="M199" s="10"/>
    </row>
    <row r="200" spans="1:13" x14ac:dyDescent="0.25">
      <c r="A200" s="62">
        <v>32112</v>
      </c>
      <c r="B200" s="9"/>
      <c r="D200" s="9"/>
      <c r="E200" s="10"/>
      <c r="F200" s="33"/>
      <c r="G200" s="33"/>
      <c r="H200" s="12"/>
      <c r="I200" s="8"/>
      <c r="J200" s="33"/>
      <c r="K200" s="10"/>
      <c r="L200" s="33"/>
      <c r="M200" s="10"/>
    </row>
    <row r="201" spans="1:13" x14ac:dyDescent="0.25">
      <c r="A201" s="62">
        <v>32143</v>
      </c>
      <c r="B201" s="9"/>
      <c r="D201" s="9"/>
      <c r="E201" s="10"/>
      <c r="F201" s="33"/>
      <c r="G201" s="33"/>
      <c r="H201" s="12"/>
      <c r="I201" s="8"/>
      <c r="J201" s="33"/>
      <c r="K201" s="10"/>
      <c r="L201" s="33"/>
      <c r="M201" s="10"/>
    </row>
    <row r="202" spans="1:13" x14ac:dyDescent="0.25">
      <c r="A202" s="62">
        <v>32174</v>
      </c>
      <c r="B202" s="9"/>
      <c r="D202" s="9"/>
      <c r="E202" s="10"/>
      <c r="F202" s="33"/>
      <c r="G202" s="33"/>
      <c r="H202" s="12"/>
      <c r="I202" s="8"/>
      <c r="J202" s="33"/>
      <c r="K202" s="10"/>
      <c r="L202" s="33"/>
      <c r="M202" s="10"/>
    </row>
    <row r="203" spans="1:13" x14ac:dyDescent="0.25">
      <c r="A203" s="62">
        <v>32203</v>
      </c>
      <c r="B203" s="9"/>
      <c r="D203" s="9"/>
      <c r="E203" s="93">
        <v>734.7670250896058</v>
      </c>
      <c r="F203" s="33"/>
      <c r="G203" s="33"/>
      <c r="H203" s="12"/>
      <c r="I203" s="8"/>
      <c r="J203" s="33"/>
      <c r="K203" s="10"/>
      <c r="L203" s="33"/>
      <c r="M203" s="10"/>
    </row>
    <row r="204" spans="1:13" x14ac:dyDescent="0.25">
      <c r="A204" s="62">
        <v>32234</v>
      </c>
      <c r="B204" s="9"/>
      <c r="D204" s="9"/>
      <c r="E204" s="10"/>
      <c r="F204" s="33"/>
      <c r="G204" s="33"/>
      <c r="H204" s="12"/>
      <c r="I204" s="8"/>
      <c r="J204" s="33"/>
      <c r="K204" s="10"/>
      <c r="L204" s="33"/>
      <c r="M204" s="10"/>
    </row>
    <row r="205" spans="1:13" x14ac:dyDescent="0.25">
      <c r="A205" s="62">
        <v>32264</v>
      </c>
      <c r="B205" s="9"/>
      <c r="D205" s="9"/>
      <c r="E205" s="10"/>
      <c r="F205" s="33"/>
      <c r="G205" s="33"/>
      <c r="H205" s="12"/>
      <c r="I205" s="8"/>
      <c r="J205" s="33"/>
      <c r="K205" s="10"/>
      <c r="L205" s="33"/>
      <c r="M205" s="10"/>
    </row>
    <row r="206" spans="1:13" x14ac:dyDescent="0.25">
      <c r="A206" s="62">
        <v>32295</v>
      </c>
      <c r="B206" s="9"/>
      <c r="D206" s="9"/>
      <c r="E206" s="10"/>
      <c r="F206" s="33"/>
      <c r="G206" s="33"/>
      <c r="H206" s="12"/>
      <c r="I206" s="8"/>
      <c r="J206" s="33"/>
      <c r="K206" s="10"/>
      <c r="L206" s="33"/>
      <c r="M206" s="10"/>
    </row>
    <row r="207" spans="1:13" x14ac:dyDescent="0.25">
      <c r="A207" s="62">
        <v>32325</v>
      </c>
      <c r="B207" s="9"/>
      <c r="D207" s="9"/>
      <c r="E207" s="10"/>
      <c r="F207" s="33"/>
      <c r="G207" s="33"/>
      <c r="H207" s="12"/>
      <c r="I207" s="8"/>
      <c r="J207" s="33"/>
      <c r="K207" s="10"/>
      <c r="L207" s="33"/>
      <c r="M207" s="10"/>
    </row>
    <row r="208" spans="1:13" x14ac:dyDescent="0.25">
      <c r="A208" s="62">
        <v>32356</v>
      </c>
      <c r="B208" s="9"/>
      <c r="D208" s="9"/>
      <c r="E208" s="10"/>
      <c r="F208" s="33"/>
      <c r="G208" s="33"/>
      <c r="H208" s="12"/>
      <c r="I208" s="8"/>
      <c r="J208" s="33"/>
      <c r="K208" s="10"/>
      <c r="L208" s="33"/>
      <c r="M208" s="10"/>
    </row>
    <row r="209" spans="1:13" x14ac:dyDescent="0.25">
      <c r="A209" s="62">
        <v>32387</v>
      </c>
      <c r="B209" s="9"/>
      <c r="D209" s="9"/>
      <c r="E209" s="10"/>
      <c r="F209" s="33"/>
      <c r="G209" s="33"/>
      <c r="H209" s="12"/>
      <c r="I209" s="8"/>
      <c r="J209" s="33"/>
      <c r="K209" s="10"/>
      <c r="L209" s="33"/>
      <c r="M209" s="10"/>
    </row>
    <row r="210" spans="1:13" x14ac:dyDescent="0.25">
      <c r="A210" s="62">
        <v>32417</v>
      </c>
      <c r="B210" s="9"/>
      <c r="D210" s="9"/>
      <c r="E210" s="10"/>
      <c r="F210" s="33"/>
      <c r="G210" s="33"/>
      <c r="H210" s="12"/>
      <c r="I210" s="8"/>
      <c r="J210" s="33"/>
      <c r="K210" s="10"/>
      <c r="L210" s="33"/>
      <c r="M210" s="10"/>
    </row>
    <row r="211" spans="1:13" x14ac:dyDescent="0.25">
      <c r="A211" s="62">
        <v>32448</v>
      </c>
      <c r="B211" s="9"/>
      <c r="D211" s="9"/>
      <c r="E211" s="10"/>
      <c r="F211" s="33"/>
      <c r="G211" s="33"/>
      <c r="H211" s="12"/>
      <c r="I211" s="8"/>
      <c r="J211" s="33"/>
      <c r="K211" s="10"/>
      <c r="L211" s="33"/>
      <c r="M211" s="10"/>
    </row>
    <row r="212" spans="1:13" x14ac:dyDescent="0.25">
      <c r="A212" s="62">
        <v>32478</v>
      </c>
      <c r="B212" s="9"/>
      <c r="D212" s="9"/>
      <c r="E212" s="10"/>
      <c r="F212" s="33"/>
      <c r="G212" s="33"/>
      <c r="H212" s="12"/>
      <c r="I212" s="8"/>
      <c r="J212" s="33"/>
      <c r="K212" s="10"/>
      <c r="L212" s="33"/>
      <c r="M212" s="10"/>
    </row>
    <row r="213" spans="1:13" x14ac:dyDescent="0.25">
      <c r="A213" s="62">
        <v>32509</v>
      </c>
      <c r="B213" s="9"/>
      <c r="D213" s="9"/>
      <c r="E213" s="10"/>
      <c r="F213" s="33"/>
      <c r="G213" s="33"/>
      <c r="H213" s="12"/>
      <c r="I213" s="8"/>
      <c r="J213" s="33"/>
      <c r="K213" s="10"/>
      <c r="L213" s="33"/>
      <c r="M213" s="10"/>
    </row>
    <row r="214" spans="1:13" x14ac:dyDescent="0.25">
      <c r="A214" s="62">
        <v>32540</v>
      </c>
      <c r="B214" s="9"/>
      <c r="D214" s="9"/>
      <c r="E214" s="10"/>
      <c r="F214" s="33"/>
      <c r="G214" s="33"/>
      <c r="H214" s="12"/>
      <c r="I214" s="8"/>
      <c r="J214" s="33"/>
      <c r="K214" s="10"/>
      <c r="L214" s="33"/>
      <c r="M214" s="10"/>
    </row>
    <row r="215" spans="1:13" x14ac:dyDescent="0.25">
      <c r="A215" s="62">
        <v>32568</v>
      </c>
      <c r="B215" s="9"/>
      <c r="D215" s="9"/>
      <c r="E215" s="10"/>
      <c r="F215" s="33"/>
      <c r="G215" s="33"/>
      <c r="H215" s="12"/>
      <c r="I215" s="8"/>
      <c r="J215" s="33"/>
      <c r="K215" s="10"/>
      <c r="L215" s="33"/>
      <c r="M215" s="10"/>
    </row>
    <row r="216" spans="1:13" x14ac:dyDescent="0.25">
      <c r="A216" s="62">
        <v>32599</v>
      </c>
      <c r="B216" s="9"/>
      <c r="D216" s="9"/>
      <c r="E216" s="10"/>
      <c r="F216" s="33"/>
      <c r="G216" s="33"/>
      <c r="H216" s="12"/>
      <c r="I216" s="8"/>
      <c r="J216" s="33"/>
      <c r="K216" s="10"/>
      <c r="L216" s="33"/>
      <c r="M216" s="10"/>
    </row>
    <row r="217" spans="1:13" x14ac:dyDescent="0.25">
      <c r="A217" s="62">
        <v>32629</v>
      </c>
      <c r="B217" s="9"/>
      <c r="D217" s="9"/>
      <c r="E217" s="10"/>
      <c r="F217" s="33"/>
      <c r="G217" s="33"/>
      <c r="H217" s="12"/>
      <c r="I217" s="8"/>
      <c r="J217" s="33"/>
      <c r="K217" s="10"/>
      <c r="L217" s="33"/>
      <c r="M217" s="10"/>
    </row>
    <row r="218" spans="1:13" x14ac:dyDescent="0.25">
      <c r="A218" s="62">
        <v>32660</v>
      </c>
      <c r="B218" s="9"/>
      <c r="D218" s="9"/>
      <c r="E218" s="10"/>
      <c r="F218" s="33"/>
      <c r="G218" s="33"/>
      <c r="H218" s="12"/>
      <c r="I218" s="8"/>
      <c r="J218" s="33"/>
      <c r="K218" s="10"/>
      <c r="L218" s="33"/>
      <c r="M218" s="10"/>
    </row>
    <row r="219" spans="1:13" x14ac:dyDescent="0.25">
      <c r="A219" s="62">
        <v>32690</v>
      </c>
      <c r="B219" s="9"/>
      <c r="D219" s="9"/>
      <c r="E219" s="10"/>
      <c r="F219" s="33"/>
      <c r="G219" s="33"/>
      <c r="H219" s="12"/>
      <c r="I219" s="8"/>
      <c r="J219" s="33"/>
      <c r="K219" s="10"/>
      <c r="L219" s="33"/>
      <c r="M219" s="10"/>
    </row>
    <row r="220" spans="1:13" x14ac:dyDescent="0.25">
      <c r="A220" s="62">
        <v>32721</v>
      </c>
      <c r="B220" s="9"/>
      <c r="D220" s="9"/>
      <c r="E220" s="10"/>
      <c r="F220" s="33"/>
      <c r="G220" s="33"/>
      <c r="H220" s="12"/>
      <c r="I220" s="8"/>
      <c r="J220" s="33"/>
      <c r="K220" s="10"/>
      <c r="L220" s="33"/>
      <c r="M220" s="10"/>
    </row>
    <row r="221" spans="1:13" x14ac:dyDescent="0.25">
      <c r="A221" s="62">
        <v>32752</v>
      </c>
      <c r="B221" s="9"/>
      <c r="D221" s="9"/>
      <c r="E221" s="10"/>
      <c r="F221" s="33"/>
      <c r="G221" s="33"/>
      <c r="H221" s="12"/>
      <c r="I221" s="8"/>
      <c r="J221" s="33"/>
      <c r="K221" s="10"/>
      <c r="L221" s="33"/>
      <c r="M221" s="10"/>
    </row>
    <row r="222" spans="1:13" x14ac:dyDescent="0.25">
      <c r="A222" s="62">
        <v>32782</v>
      </c>
      <c r="B222" s="9"/>
      <c r="D222" s="9"/>
      <c r="E222" s="10"/>
      <c r="F222" s="33"/>
      <c r="G222" s="33"/>
      <c r="H222" s="12"/>
      <c r="I222" s="8"/>
      <c r="J222" s="33"/>
      <c r="K222" s="10"/>
      <c r="L222" s="33"/>
      <c r="M222" s="10"/>
    </row>
    <row r="223" spans="1:13" x14ac:dyDescent="0.25">
      <c r="A223" s="62">
        <v>32813</v>
      </c>
      <c r="B223" s="9"/>
      <c r="D223" s="9"/>
      <c r="E223" s="10"/>
      <c r="F223" s="33"/>
      <c r="G223" s="33"/>
      <c r="H223" s="12"/>
      <c r="I223" s="8"/>
      <c r="J223" s="33"/>
      <c r="K223" s="10"/>
      <c r="L223" s="33"/>
      <c r="M223" s="10"/>
    </row>
    <row r="224" spans="1:13" x14ac:dyDescent="0.25">
      <c r="A224" s="62">
        <v>32843</v>
      </c>
      <c r="B224" s="9"/>
      <c r="D224" s="9"/>
      <c r="E224" s="10"/>
      <c r="F224" s="33"/>
      <c r="G224" s="33"/>
      <c r="H224" s="12"/>
      <c r="I224" s="8"/>
      <c r="J224" s="33"/>
      <c r="K224" s="10"/>
      <c r="L224" s="33"/>
      <c r="M224" s="10"/>
    </row>
    <row r="225" spans="1:13" x14ac:dyDescent="0.25">
      <c r="A225" s="62">
        <v>32874</v>
      </c>
      <c r="B225" s="9"/>
      <c r="D225" s="9"/>
      <c r="E225" s="10"/>
      <c r="F225" s="33"/>
      <c r="G225" s="33"/>
      <c r="H225" s="12"/>
      <c r="I225" s="8"/>
      <c r="J225" s="33"/>
      <c r="K225" s="10"/>
      <c r="L225" s="33"/>
      <c r="M225" s="10"/>
    </row>
    <row r="226" spans="1:13" x14ac:dyDescent="0.25">
      <c r="A226" s="62">
        <v>32905</v>
      </c>
      <c r="B226" s="9"/>
      <c r="D226" s="9"/>
      <c r="E226" s="10"/>
      <c r="F226" s="33"/>
      <c r="G226" s="33"/>
      <c r="H226" s="12"/>
      <c r="I226" s="8"/>
      <c r="J226" s="33"/>
      <c r="K226" s="10"/>
      <c r="L226" s="33"/>
      <c r="M226" s="10"/>
    </row>
    <row r="227" spans="1:13" x14ac:dyDescent="0.25">
      <c r="A227" s="62">
        <v>32933</v>
      </c>
      <c r="B227" s="9"/>
      <c r="D227" s="9"/>
      <c r="E227" s="10"/>
      <c r="F227" s="33"/>
      <c r="G227" s="33"/>
      <c r="H227" s="12"/>
      <c r="I227" s="8"/>
      <c r="J227" s="33"/>
      <c r="K227" s="10"/>
      <c r="L227" s="33"/>
      <c r="M227" s="10"/>
    </row>
    <row r="228" spans="1:13" x14ac:dyDescent="0.25">
      <c r="A228" s="62">
        <v>32964</v>
      </c>
      <c r="B228" s="9"/>
      <c r="D228" s="9"/>
      <c r="E228" s="10"/>
      <c r="F228" s="33"/>
      <c r="G228" s="33"/>
      <c r="H228" s="12"/>
      <c r="I228" s="8"/>
      <c r="J228" s="33"/>
      <c r="K228" s="10"/>
      <c r="L228" s="33"/>
      <c r="M228" s="10"/>
    </row>
    <row r="229" spans="1:13" x14ac:dyDescent="0.25">
      <c r="A229" s="62">
        <v>32994</v>
      </c>
      <c r="B229" s="9"/>
      <c r="D229" s="9"/>
      <c r="E229" s="10"/>
      <c r="F229" s="33"/>
      <c r="G229" s="33"/>
      <c r="H229" s="12"/>
      <c r="I229" s="8"/>
      <c r="J229" s="33"/>
      <c r="K229" s="10"/>
      <c r="L229" s="33"/>
      <c r="M229" s="10"/>
    </row>
    <row r="230" spans="1:13" x14ac:dyDescent="0.25">
      <c r="A230" s="62">
        <v>33025</v>
      </c>
      <c r="B230" s="9"/>
      <c r="D230" s="9"/>
      <c r="E230" s="10"/>
      <c r="F230" s="33"/>
      <c r="G230" s="33"/>
      <c r="H230" s="12"/>
      <c r="I230" s="8"/>
      <c r="J230" s="33"/>
      <c r="K230" s="10"/>
      <c r="L230" s="33"/>
      <c r="M230" s="10"/>
    </row>
    <row r="231" spans="1:13" x14ac:dyDescent="0.25">
      <c r="A231" s="62">
        <v>33055</v>
      </c>
      <c r="B231" s="9"/>
      <c r="D231" s="9"/>
      <c r="E231" s="10"/>
      <c r="F231" s="33"/>
      <c r="G231" s="33"/>
      <c r="H231" s="12"/>
      <c r="I231" s="8"/>
      <c r="J231" s="33"/>
      <c r="K231" s="10"/>
      <c r="L231" s="33"/>
      <c r="M231" s="10"/>
    </row>
    <row r="232" spans="1:13" x14ac:dyDescent="0.25">
      <c r="A232" s="62">
        <v>33086</v>
      </c>
      <c r="B232" s="9"/>
      <c r="D232" s="9"/>
      <c r="E232" s="10"/>
      <c r="F232" s="33"/>
      <c r="G232" s="33"/>
      <c r="H232" s="12"/>
      <c r="I232" s="8"/>
      <c r="J232" s="33"/>
      <c r="K232" s="10"/>
      <c r="L232" s="33"/>
      <c r="M232" s="10"/>
    </row>
    <row r="233" spans="1:13" x14ac:dyDescent="0.25">
      <c r="A233" s="62">
        <v>33117</v>
      </c>
      <c r="B233" s="9"/>
      <c r="D233" s="9"/>
      <c r="E233" s="10"/>
      <c r="F233" s="33"/>
      <c r="G233" s="33"/>
      <c r="H233" s="12"/>
      <c r="I233" s="8"/>
      <c r="J233" s="33"/>
      <c r="K233" s="10"/>
      <c r="L233" s="33"/>
      <c r="M233" s="10"/>
    </row>
    <row r="234" spans="1:13" x14ac:dyDescent="0.25">
      <c r="A234" s="62">
        <v>33147</v>
      </c>
      <c r="B234" s="9"/>
      <c r="D234" s="9"/>
      <c r="E234" s="10"/>
      <c r="F234" s="33"/>
      <c r="G234" s="33"/>
      <c r="H234" s="12"/>
      <c r="I234" s="8"/>
      <c r="J234" s="33"/>
      <c r="K234" s="10"/>
      <c r="L234" s="33"/>
      <c r="M234" s="10"/>
    </row>
    <row r="235" spans="1:13" x14ac:dyDescent="0.25">
      <c r="A235" s="62">
        <v>33178</v>
      </c>
      <c r="B235" s="9"/>
      <c r="D235" s="9"/>
      <c r="E235" s="10"/>
      <c r="F235" s="33"/>
      <c r="G235" s="33"/>
      <c r="H235" s="12"/>
      <c r="I235" s="8"/>
      <c r="J235" s="33"/>
      <c r="K235" s="10"/>
      <c r="L235" s="33"/>
      <c r="M235" s="10"/>
    </row>
    <row r="236" spans="1:13" x14ac:dyDescent="0.25">
      <c r="A236" s="62">
        <v>33208</v>
      </c>
      <c r="B236" s="9"/>
      <c r="D236" s="9"/>
      <c r="E236" s="10"/>
      <c r="F236" s="33"/>
      <c r="G236" s="33"/>
      <c r="H236" s="12"/>
      <c r="I236" s="8"/>
      <c r="J236" s="33"/>
      <c r="K236" s="10"/>
      <c r="L236" s="33"/>
      <c r="M236" s="10"/>
    </row>
    <row r="237" spans="1:13" x14ac:dyDescent="0.25">
      <c r="A237" s="62">
        <v>33239</v>
      </c>
      <c r="B237" s="9"/>
      <c r="D237" s="9"/>
      <c r="E237" s="10"/>
      <c r="F237" s="33"/>
      <c r="G237" s="33"/>
      <c r="H237" s="12"/>
      <c r="I237" s="8"/>
      <c r="J237" s="33"/>
      <c r="K237" s="10"/>
      <c r="L237" s="33"/>
      <c r="M237" s="10"/>
    </row>
    <row r="238" spans="1:13" x14ac:dyDescent="0.25">
      <c r="A238" s="62">
        <v>33270</v>
      </c>
      <c r="B238" s="9"/>
      <c r="D238" s="9"/>
      <c r="E238" s="10"/>
      <c r="F238" s="33"/>
      <c r="G238" s="33"/>
      <c r="H238" s="12"/>
      <c r="I238" s="8"/>
      <c r="J238" s="33"/>
      <c r="K238" s="10"/>
      <c r="L238" s="33"/>
      <c r="M238" s="10"/>
    </row>
    <row r="239" spans="1:13" x14ac:dyDescent="0.25">
      <c r="A239" s="62">
        <v>33298</v>
      </c>
      <c r="B239" s="9"/>
      <c r="D239" s="9"/>
      <c r="E239" s="10"/>
      <c r="F239" s="33"/>
      <c r="G239" s="33"/>
      <c r="H239" s="12"/>
      <c r="I239" s="8"/>
      <c r="J239" s="33"/>
      <c r="K239" s="10"/>
      <c r="L239" s="33"/>
      <c r="M239" s="10"/>
    </row>
    <row r="240" spans="1:13" x14ac:dyDescent="0.25">
      <c r="A240" s="62">
        <v>33329</v>
      </c>
      <c r="B240" s="9"/>
      <c r="D240" s="9"/>
      <c r="E240" s="10"/>
      <c r="F240" s="33"/>
      <c r="G240" s="33"/>
      <c r="H240" s="12"/>
      <c r="I240" s="8"/>
      <c r="J240" s="33"/>
      <c r="K240" s="10"/>
      <c r="L240" s="33"/>
      <c r="M240" s="10"/>
    </row>
    <row r="241" spans="1:13" x14ac:dyDescent="0.25">
      <c r="A241" s="62">
        <v>33359</v>
      </c>
      <c r="B241" s="9"/>
      <c r="D241" s="9"/>
      <c r="E241" s="10"/>
      <c r="F241" s="33"/>
      <c r="G241" s="33"/>
      <c r="H241" s="12"/>
      <c r="I241" s="8"/>
      <c r="J241" s="33"/>
      <c r="K241" s="10"/>
      <c r="L241" s="33"/>
      <c r="M241" s="10"/>
    </row>
    <row r="242" spans="1:13" x14ac:dyDescent="0.25">
      <c r="A242" s="62">
        <v>33390</v>
      </c>
      <c r="B242" s="9"/>
      <c r="D242" s="9"/>
      <c r="E242" s="10"/>
      <c r="F242" s="33"/>
      <c r="G242" s="33"/>
      <c r="H242" s="12"/>
      <c r="I242" s="8"/>
      <c r="J242" s="33"/>
      <c r="K242" s="10"/>
      <c r="L242" s="33"/>
      <c r="M242" s="10"/>
    </row>
    <row r="243" spans="1:13" x14ac:dyDescent="0.25">
      <c r="A243" s="62">
        <v>33420</v>
      </c>
      <c r="B243" s="9"/>
      <c r="D243" s="9"/>
      <c r="E243" s="10"/>
      <c r="F243" s="33"/>
      <c r="G243" s="33"/>
      <c r="H243" s="12"/>
      <c r="I243" s="8"/>
      <c r="J243" s="33"/>
      <c r="K243" s="10"/>
      <c r="L243" s="33"/>
      <c r="M243" s="10"/>
    </row>
    <row r="244" spans="1:13" x14ac:dyDescent="0.25">
      <c r="A244" s="62">
        <v>33451</v>
      </c>
      <c r="B244" s="9"/>
      <c r="D244" s="9"/>
      <c r="E244" s="10"/>
      <c r="F244" s="33"/>
      <c r="G244" s="33"/>
      <c r="H244" s="12"/>
      <c r="I244" s="8"/>
      <c r="J244" s="33"/>
      <c r="K244" s="10"/>
      <c r="L244" s="33"/>
      <c r="M244" s="10"/>
    </row>
    <row r="245" spans="1:13" x14ac:dyDescent="0.25">
      <c r="A245" s="62">
        <v>33482</v>
      </c>
      <c r="B245" s="9"/>
      <c r="D245" s="9"/>
      <c r="E245" s="10"/>
      <c r="F245" s="33"/>
      <c r="G245" s="33"/>
      <c r="H245" s="12"/>
      <c r="I245" s="8"/>
      <c r="J245" s="33"/>
      <c r="K245" s="10"/>
      <c r="L245" s="33"/>
      <c r="M245" s="10"/>
    </row>
    <row r="246" spans="1:13" x14ac:dyDescent="0.25">
      <c r="A246" s="62">
        <v>33512</v>
      </c>
      <c r="B246" s="9"/>
      <c r="D246" s="9"/>
      <c r="E246" s="10"/>
      <c r="F246" s="33"/>
      <c r="G246" s="33"/>
      <c r="H246" s="12"/>
      <c r="I246" s="8"/>
      <c r="J246" s="33"/>
      <c r="K246" s="10"/>
      <c r="L246" s="33"/>
      <c r="M246" s="10"/>
    </row>
    <row r="247" spans="1:13" x14ac:dyDescent="0.25">
      <c r="A247" s="62">
        <v>33543</v>
      </c>
      <c r="B247" s="9"/>
      <c r="D247" s="9"/>
      <c r="E247" s="10"/>
      <c r="F247" s="33"/>
      <c r="G247" s="33"/>
      <c r="H247" s="12"/>
      <c r="I247" s="8"/>
      <c r="J247" s="33"/>
      <c r="K247" s="10"/>
      <c r="L247" s="33"/>
      <c r="M247" s="10"/>
    </row>
    <row r="248" spans="1:13" x14ac:dyDescent="0.25">
      <c r="A248" s="62">
        <v>33573</v>
      </c>
      <c r="B248" s="9"/>
      <c r="D248" s="9"/>
      <c r="E248" s="10"/>
      <c r="F248" s="33"/>
      <c r="G248" s="33"/>
      <c r="H248" s="12"/>
      <c r="I248" s="8"/>
      <c r="J248" s="33"/>
      <c r="K248" s="10"/>
      <c r="L248" s="33"/>
      <c r="M248" s="10"/>
    </row>
    <row r="249" spans="1:13" x14ac:dyDescent="0.25">
      <c r="A249" s="62">
        <v>33604</v>
      </c>
      <c r="B249" s="9"/>
      <c r="D249" s="9"/>
      <c r="E249" s="10"/>
      <c r="F249" s="33"/>
      <c r="G249" s="33"/>
      <c r="H249" s="12"/>
      <c r="I249" s="8"/>
      <c r="J249" s="33"/>
      <c r="K249" s="10"/>
      <c r="L249" s="33"/>
      <c r="M249" s="10"/>
    </row>
    <row r="250" spans="1:13" x14ac:dyDescent="0.25">
      <c r="A250" s="62">
        <v>33635</v>
      </c>
      <c r="B250" s="9"/>
      <c r="D250" s="9"/>
      <c r="E250" s="10"/>
      <c r="F250" s="33"/>
      <c r="G250" s="33"/>
      <c r="H250" s="12"/>
      <c r="I250" s="8"/>
      <c r="J250" s="33"/>
      <c r="K250" s="10"/>
      <c r="L250" s="33"/>
      <c r="M250" s="10"/>
    </row>
    <row r="251" spans="1:13" x14ac:dyDescent="0.25">
      <c r="A251" s="62">
        <v>33664</v>
      </c>
      <c r="B251" s="9"/>
      <c r="D251" s="9"/>
      <c r="E251" s="10"/>
      <c r="F251" s="33"/>
      <c r="G251" s="33"/>
      <c r="H251" s="12"/>
      <c r="I251" s="8"/>
      <c r="J251" s="33"/>
      <c r="K251" s="10"/>
      <c r="L251" s="33"/>
      <c r="M251" s="10"/>
    </row>
    <row r="252" spans="1:13" x14ac:dyDescent="0.25">
      <c r="A252" s="62">
        <v>33695</v>
      </c>
      <c r="B252" s="9"/>
      <c r="D252" s="9"/>
      <c r="E252" s="10"/>
      <c r="F252" s="33"/>
      <c r="G252" s="33"/>
      <c r="H252" s="12"/>
      <c r="I252" s="8"/>
      <c r="J252" s="33"/>
      <c r="K252" s="10"/>
      <c r="L252" s="33"/>
      <c r="M252" s="10"/>
    </row>
    <row r="253" spans="1:13" x14ac:dyDescent="0.25">
      <c r="A253" s="62">
        <v>33725</v>
      </c>
      <c r="B253" s="9"/>
      <c r="D253" s="9"/>
      <c r="E253" s="10"/>
      <c r="F253" s="33"/>
      <c r="G253" s="33"/>
      <c r="H253" s="12"/>
      <c r="I253" s="8"/>
      <c r="J253" s="33"/>
      <c r="K253" s="10"/>
      <c r="L253" s="33"/>
      <c r="M253" s="10"/>
    </row>
    <row r="254" spans="1:13" x14ac:dyDescent="0.25">
      <c r="A254" s="62">
        <v>33756</v>
      </c>
      <c r="B254" s="9"/>
      <c r="D254" s="9"/>
      <c r="E254" s="10"/>
      <c r="F254" s="33"/>
      <c r="G254" s="33"/>
      <c r="H254" s="12"/>
      <c r="I254" s="8"/>
      <c r="J254" s="33"/>
      <c r="K254" s="10"/>
      <c r="L254" s="33"/>
      <c r="M254" s="10"/>
    </row>
    <row r="255" spans="1:13" x14ac:dyDescent="0.25">
      <c r="A255" s="62">
        <v>33786</v>
      </c>
      <c r="B255" s="9"/>
      <c r="D255" s="9"/>
      <c r="E255" s="10"/>
      <c r="F255" s="33"/>
      <c r="G255" s="33"/>
      <c r="H255" s="12"/>
      <c r="I255" s="8"/>
      <c r="J255" s="33"/>
      <c r="K255" s="10"/>
      <c r="L255" s="33"/>
      <c r="M255" s="10"/>
    </row>
    <row r="256" spans="1:13" x14ac:dyDescent="0.25">
      <c r="A256" s="62">
        <v>33817</v>
      </c>
      <c r="B256" s="9"/>
      <c r="D256" s="9"/>
      <c r="E256" s="10"/>
      <c r="F256" s="33"/>
      <c r="G256" s="33"/>
      <c r="H256" s="12"/>
      <c r="I256" s="8"/>
      <c r="J256" s="33"/>
      <c r="K256" s="10"/>
      <c r="L256" s="33"/>
      <c r="M256" s="10"/>
    </row>
    <row r="257" spans="1:13" x14ac:dyDescent="0.25">
      <c r="A257" s="62">
        <v>33848</v>
      </c>
      <c r="B257" s="9"/>
      <c r="D257" s="9"/>
      <c r="E257" s="10"/>
      <c r="F257" s="33"/>
      <c r="G257" s="33"/>
      <c r="H257" s="12"/>
      <c r="I257" s="8"/>
      <c r="J257" s="33"/>
      <c r="K257" s="10"/>
      <c r="L257" s="33"/>
      <c r="M257" s="10"/>
    </row>
    <row r="258" spans="1:13" x14ac:dyDescent="0.25">
      <c r="A258" s="62">
        <v>33878</v>
      </c>
      <c r="B258" s="9"/>
      <c r="D258" s="9"/>
      <c r="E258" s="10"/>
      <c r="F258" s="33"/>
      <c r="G258" s="33"/>
      <c r="H258" s="12"/>
      <c r="I258" s="8"/>
      <c r="J258" s="33"/>
      <c r="K258" s="10"/>
      <c r="L258" s="33"/>
      <c r="M258" s="10"/>
    </row>
    <row r="259" spans="1:13" x14ac:dyDescent="0.25">
      <c r="A259" s="62">
        <v>33909</v>
      </c>
      <c r="B259" s="9"/>
      <c r="D259" s="9"/>
      <c r="E259" s="10"/>
      <c r="F259" s="33"/>
      <c r="G259" s="33"/>
      <c r="H259" s="12"/>
      <c r="I259" s="8"/>
      <c r="J259" s="33"/>
      <c r="K259" s="10"/>
      <c r="L259" s="33"/>
      <c r="M259" s="10"/>
    </row>
    <row r="260" spans="1:13" x14ac:dyDescent="0.25">
      <c r="A260" s="62">
        <v>33939</v>
      </c>
      <c r="B260" s="9"/>
      <c r="D260" s="9"/>
      <c r="E260" s="10"/>
      <c r="F260" s="33"/>
      <c r="G260" s="33"/>
      <c r="H260" s="12"/>
      <c r="I260" s="8"/>
      <c r="J260" s="33"/>
      <c r="K260" s="10"/>
      <c r="L260" s="33"/>
      <c r="M260" s="10"/>
    </row>
    <row r="261" spans="1:13" x14ac:dyDescent="0.25">
      <c r="A261" s="62">
        <v>33970</v>
      </c>
      <c r="B261" s="9"/>
      <c r="D261" s="9"/>
      <c r="E261" s="10"/>
      <c r="F261" s="33"/>
      <c r="G261" s="33"/>
      <c r="H261" s="12"/>
      <c r="I261" s="8"/>
      <c r="J261" s="33"/>
      <c r="K261" s="10"/>
      <c r="L261" s="33"/>
      <c r="M261" s="10"/>
    </row>
    <row r="262" spans="1:13" x14ac:dyDescent="0.25">
      <c r="A262" s="62">
        <v>34001</v>
      </c>
      <c r="B262" s="9"/>
      <c r="D262" s="9"/>
      <c r="E262" s="10"/>
      <c r="F262" s="33"/>
      <c r="G262" s="33"/>
      <c r="H262" s="12"/>
      <c r="I262" s="8"/>
      <c r="J262" s="33"/>
      <c r="K262" s="10"/>
      <c r="L262" s="33"/>
      <c r="M262" s="10"/>
    </row>
    <row r="263" spans="1:13" x14ac:dyDescent="0.25">
      <c r="A263" s="62">
        <v>34029</v>
      </c>
      <c r="B263" s="9"/>
      <c r="D263" s="9"/>
      <c r="E263" s="10"/>
      <c r="F263" s="33"/>
      <c r="G263" s="33"/>
      <c r="H263" s="12"/>
      <c r="I263" s="8"/>
      <c r="J263" s="33"/>
      <c r="K263" s="10"/>
      <c r="L263" s="33"/>
      <c r="M263" s="10"/>
    </row>
    <row r="264" spans="1:13" x14ac:dyDescent="0.25">
      <c r="A264" s="62">
        <v>34060</v>
      </c>
      <c r="B264" s="9"/>
      <c r="D264" s="9"/>
      <c r="E264" s="10"/>
      <c r="F264" s="33"/>
      <c r="G264" s="33"/>
      <c r="H264" s="12"/>
      <c r="I264" s="8"/>
      <c r="J264" s="33"/>
      <c r="K264" s="10"/>
      <c r="L264" s="33"/>
      <c r="M264" s="10"/>
    </row>
    <row r="265" spans="1:13" x14ac:dyDescent="0.25">
      <c r="A265" s="62">
        <v>34090</v>
      </c>
      <c r="B265" s="9"/>
      <c r="D265" s="9"/>
      <c r="E265" s="10"/>
      <c r="F265" s="33"/>
      <c r="G265" s="33"/>
      <c r="H265" s="12"/>
      <c r="I265" s="8"/>
      <c r="J265" s="33"/>
      <c r="K265" s="10"/>
      <c r="L265" s="33"/>
      <c r="M265" s="10"/>
    </row>
    <row r="266" spans="1:13" x14ac:dyDescent="0.25">
      <c r="A266" s="62">
        <v>34121</v>
      </c>
      <c r="B266" s="9"/>
      <c r="D266" s="9"/>
      <c r="E266" s="10"/>
      <c r="F266" s="33"/>
      <c r="G266" s="33"/>
      <c r="H266" s="12"/>
      <c r="I266" s="8"/>
      <c r="J266" s="33"/>
      <c r="K266" s="10"/>
      <c r="L266" s="33"/>
      <c r="M266" s="10"/>
    </row>
    <row r="267" spans="1:13" x14ac:dyDescent="0.25">
      <c r="A267" s="62">
        <v>34151</v>
      </c>
      <c r="B267" s="9"/>
      <c r="D267" s="9"/>
      <c r="E267" s="10"/>
      <c r="F267" s="33"/>
      <c r="G267" s="33"/>
      <c r="H267" s="12"/>
      <c r="I267" s="8"/>
      <c r="J267" s="33"/>
      <c r="K267" s="10"/>
      <c r="L267" s="33"/>
      <c r="M267" s="10"/>
    </row>
    <row r="268" spans="1:13" x14ac:dyDescent="0.25">
      <c r="A268" s="62">
        <v>34182</v>
      </c>
      <c r="B268" s="9"/>
      <c r="D268" s="9"/>
      <c r="E268" s="10"/>
      <c r="F268" s="33"/>
      <c r="G268" s="33"/>
      <c r="H268" s="12"/>
      <c r="I268" s="8"/>
      <c r="J268" s="33"/>
      <c r="K268" s="10"/>
      <c r="L268" s="33"/>
      <c r="M268" s="10"/>
    </row>
    <row r="269" spans="1:13" x14ac:dyDescent="0.25">
      <c r="A269" s="62">
        <v>34213</v>
      </c>
      <c r="B269" s="9"/>
      <c r="D269" s="9"/>
      <c r="E269" s="10"/>
      <c r="F269" s="33"/>
      <c r="G269" s="33"/>
      <c r="H269" s="12"/>
      <c r="I269" s="8"/>
      <c r="J269" s="33"/>
      <c r="K269" s="10"/>
      <c r="L269" s="33"/>
      <c r="M269" s="10"/>
    </row>
    <row r="270" spans="1:13" x14ac:dyDescent="0.25">
      <c r="A270" s="62">
        <v>34243</v>
      </c>
      <c r="B270" s="9"/>
      <c r="D270" s="9"/>
      <c r="E270" s="10"/>
      <c r="F270" s="33"/>
      <c r="G270" s="94">
        <v>923.20788530465938</v>
      </c>
      <c r="H270" s="12"/>
      <c r="I270" s="8"/>
      <c r="J270" s="33"/>
      <c r="K270" s="10"/>
      <c r="L270" s="33"/>
      <c r="M270" s="10"/>
    </row>
    <row r="271" spans="1:13" x14ac:dyDescent="0.25">
      <c r="A271" s="62">
        <v>34274</v>
      </c>
      <c r="B271" s="9"/>
      <c r="D271" s="9"/>
      <c r="E271" s="10"/>
      <c r="F271" s="33"/>
      <c r="G271" s="33"/>
      <c r="H271" s="12"/>
      <c r="I271" s="8"/>
      <c r="J271" s="33"/>
      <c r="K271" s="10"/>
      <c r="L271" s="33"/>
      <c r="M271" s="10"/>
    </row>
    <row r="272" spans="1:13" x14ac:dyDescent="0.25">
      <c r="A272" s="62">
        <v>34304</v>
      </c>
      <c r="B272" s="9"/>
      <c r="D272" s="9"/>
      <c r="E272" s="10"/>
      <c r="F272" s="33"/>
      <c r="G272" s="33"/>
      <c r="H272" s="12"/>
      <c r="I272" s="8"/>
      <c r="J272" s="33"/>
      <c r="K272" s="10"/>
      <c r="L272" s="33"/>
      <c r="M272" s="10"/>
    </row>
    <row r="273" spans="1:13" x14ac:dyDescent="0.25">
      <c r="A273" s="62">
        <v>34335</v>
      </c>
      <c r="B273" s="9"/>
      <c r="D273" s="9"/>
      <c r="E273" s="10"/>
      <c r="F273" s="33"/>
      <c r="G273" s="33"/>
      <c r="H273" s="12"/>
      <c r="I273" s="8"/>
      <c r="J273" s="33"/>
      <c r="K273" s="10"/>
      <c r="L273" s="33"/>
      <c r="M273" s="10"/>
    </row>
    <row r="274" spans="1:13" x14ac:dyDescent="0.25">
      <c r="A274" s="62">
        <v>34366</v>
      </c>
      <c r="B274" s="9"/>
      <c r="D274" s="9"/>
      <c r="E274" s="10"/>
      <c r="F274" s="33"/>
      <c r="G274" s="33"/>
      <c r="H274" s="12"/>
      <c r="I274" s="8"/>
      <c r="J274" s="33"/>
      <c r="K274" s="10"/>
      <c r="L274" s="33"/>
      <c r="M274" s="10"/>
    </row>
    <row r="275" spans="1:13" x14ac:dyDescent="0.25">
      <c r="A275" s="62">
        <v>34394</v>
      </c>
      <c r="B275" s="9"/>
      <c r="D275" s="9"/>
      <c r="E275" s="10"/>
      <c r="F275" s="33"/>
      <c r="G275" s="33"/>
      <c r="H275" s="12"/>
      <c r="I275" s="8"/>
      <c r="J275" s="33"/>
      <c r="K275" s="10"/>
      <c r="L275" s="33"/>
      <c r="M275" s="10"/>
    </row>
    <row r="276" spans="1:13" x14ac:dyDescent="0.25">
      <c r="A276" s="62">
        <v>34425</v>
      </c>
      <c r="B276" s="9"/>
      <c r="D276" s="9"/>
      <c r="E276" s="10"/>
      <c r="F276" s="33"/>
      <c r="G276" s="33"/>
      <c r="H276" s="12"/>
      <c r="I276" s="8"/>
      <c r="J276" s="33"/>
      <c r="K276" s="10"/>
      <c r="L276" s="33"/>
      <c r="M276" s="10"/>
    </row>
    <row r="277" spans="1:13" x14ac:dyDescent="0.25">
      <c r="A277" s="62">
        <v>34455</v>
      </c>
      <c r="B277" s="9"/>
      <c r="D277" s="9"/>
      <c r="E277" s="10"/>
      <c r="F277" s="33"/>
      <c r="G277" s="33"/>
      <c r="H277" s="12"/>
      <c r="I277" s="8"/>
      <c r="J277" s="33"/>
      <c r="K277" s="10"/>
      <c r="L277" s="33"/>
      <c r="M277" s="10"/>
    </row>
    <row r="278" spans="1:13" x14ac:dyDescent="0.25">
      <c r="A278" s="62">
        <v>34486</v>
      </c>
      <c r="B278" s="9"/>
      <c r="D278" s="9"/>
      <c r="E278" s="10"/>
      <c r="F278" s="33"/>
      <c r="G278" s="33"/>
      <c r="H278" s="12"/>
      <c r="I278" s="8"/>
      <c r="J278" s="33"/>
      <c r="K278" s="10"/>
      <c r="L278" s="33"/>
      <c r="M278" s="10"/>
    </row>
    <row r="279" spans="1:13" x14ac:dyDescent="0.25">
      <c r="A279" s="62">
        <v>34516</v>
      </c>
      <c r="B279" s="9"/>
      <c r="D279" s="9"/>
      <c r="E279" s="10"/>
      <c r="F279" s="33"/>
      <c r="G279" s="33"/>
      <c r="H279" s="12"/>
      <c r="I279" s="8"/>
      <c r="J279" s="33"/>
      <c r="K279" s="10"/>
      <c r="L279" s="33"/>
      <c r="M279" s="10"/>
    </row>
    <row r="280" spans="1:13" x14ac:dyDescent="0.25">
      <c r="A280" s="62">
        <v>34547</v>
      </c>
      <c r="B280" s="9"/>
      <c r="D280" s="9"/>
      <c r="E280" s="10"/>
      <c r="F280" s="33"/>
      <c r="G280" s="33"/>
      <c r="H280" s="12"/>
      <c r="I280" s="8"/>
      <c r="J280" s="33"/>
      <c r="K280" s="10"/>
      <c r="L280" s="33"/>
      <c r="M280" s="10"/>
    </row>
    <row r="281" spans="1:13" x14ac:dyDescent="0.25">
      <c r="A281" s="62">
        <v>34578</v>
      </c>
      <c r="B281" s="9"/>
      <c r="D281" s="9"/>
      <c r="E281" s="10"/>
      <c r="F281" s="33"/>
      <c r="G281" s="33"/>
      <c r="H281" s="12"/>
      <c r="I281" s="8"/>
      <c r="J281" s="33"/>
      <c r="K281" s="10"/>
      <c r="L281" s="33"/>
      <c r="M281" s="10"/>
    </row>
    <row r="282" spans="1:13" x14ac:dyDescent="0.25">
      <c r="A282" s="62">
        <v>34608</v>
      </c>
      <c r="B282" s="9"/>
      <c r="D282" s="9"/>
      <c r="E282" s="10"/>
      <c r="F282" s="33"/>
      <c r="G282" s="33"/>
      <c r="H282" s="12"/>
      <c r="I282" s="8"/>
      <c r="J282" s="33"/>
      <c r="K282" s="10"/>
      <c r="L282" s="33"/>
      <c r="M282" s="10"/>
    </row>
    <row r="283" spans="1:13" x14ac:dyDescent="0.25">
      <c r="A283" s="62">
        <v>34639</v>
      </c>
      <c r="B283" s="9"/>
      <c r="D283" s="9"/>
      <c r="E283" s="10"/>
      <c r="F283" s="33"/>
      <c r="G283" s="33"/>
      <c r="H283" s="12"/>
      <c r="I283" s="8"/>
      <c r="J283" s="33"/>
      <c r="K283" s="10"/>
      <c r="L283" s="33"/>
      <c r="M283" s="10"/>
    </row>
    <row r="284" spans="1:13" x14ac:dyDescent="0.25">
      <c r="A284" s="62">
        <v>34669</v>
      </c>
      <c r="B284" s="9"/>
      <c r="D284" s="9"/>
      <c r="E284" s="10"/>
      <c r="F284" s="33"/>
      <c r="G284" s="33"/>
      <c r="H284" s="12"/>
      <c r="I284" s="8"/>
      <c r="J284" s="33"/>
      <c r="K284" s="10"/>
      <c r="L284" s="33"/>
      <c r="M284" s="10"/>
    </row>
    <row r="285" spans="1:13" x14ac:dyDescent="0.25">
      <c r="A285" s="62">
        <v>34700</v>
      </c>
      <c r="B285" s="9"/>
      <c r="D285" s="9"/>
      <c r="E285" s="10"/>
      <c r="F285" s="33"/>
      <c r="G285" s="33"/>
      <c r="H285" s="12"/>
      <c r="I285" s="8"/>
      <c r="J285" s="33"/>
      <c r="K285" s="10"/>
      <c r="L285" s="33"/>
      <c r="M285" s="10"/>
    </row>
    <row r="286" spans="1:13" x14ac:dyDescent="0.25">
      <c r="A286" s="62">
        <v>34731</v>
      </c>
      <c r="B286" s="9"/>
      <c r="D286" s="9"/>
      <c r="E286" s="10"/>
      <c r="F286" s="33"/>
      <c r="G286" s="33"/>
      <c r="H286" s="12"/>
      <c r="I286" s="95">
        <v>754.9355158730159</v>
      </c>
      <c r="J286" s="33"/>
      <c r="K286" s="10"/>
      <c r="L286" s="33"/>
      <c r="M286" s="10"/>
    </row>
    <row r="287" spans="1:13" x14ac:dyDescent="0.25">
      <c r="A287" s="62">
        <v>34759</v>
      </c>
      <c r="B287" s="9"/>
      <c r="D287" s="9"/>
      <c r="E287" s="10"/>
      <c r="F287" s="33"/>
      <c r="G287" s="33"/>
      <c r="H287" s="12"/>
      <c r="I287" s="8"/>
      <c r="J287" s="33"/>
      <c r="K287" s="10"/>
      <c r="L287" s="33"/>
      <c r="M287" s="10"/>
    </row>
    <row r="288" spans="1:13" x14ac:dyDescent="0.25">
      <c r="A288" s="62">
        <v>34790</v>
      </c>
      <c r="B288" s="9"/>
      <c r="D288" s="9"/>
      <c r="E288" s="10"/>
      <c r="F288" s="33"/>
      <c r="G288" s="33"/>
      <c r="H288" s="12"/>
      <c r="I288" s="8"/>
      <c r="J288" s="33"/>
      <c r="K288" s="10"/>
      <c r="L288" s="33"/>
      <c r="M288" s="10"/>
    </row>
    <row r="289" spans="1:13" x14ac:dyDescent="0.25">
      <c r="A289" s="62">
        <v>34820</v>
      </c>
      <c r="B289" s="9"/>
      <c r="D289" s="9"/>
      <c r="E289" s="10"/>
      <c r="F289" s="33"/>
      <c r="G289" s="33"/>
      <c r="H289" s="12"/>
      <c r="I289" s="8"/>
      <c r="J289" s="33"/>
      <c r="K289" s="10"/>
      <c r="L289" s="33"/>
      <c r="M289" s="10"/>
    </row>
    <row r="290" spans="1:13" x14ac:dyDescent="0.25">
      <c r="A290" s="62">
        <v>34851</v>
      </c>
      <c r="B290" s="9"/>
      <c r="D290" s="9"/>
      <c r="E290" s="10"/>
      <c r="F290" s="33"/>
      <c r="G290" s="33"/>
      <c r="H290" s="12"/>
      <c r="I290" s="8"/>
      <c r="J290" s="33"/>
      <c r="K290" s="10"/>
      <c r="L290" s="33"/>
      <c r="M290" s="10"/>
    </row>
    <row r="291" spans="1:13" x14ac:dyDescent="0.25">
      <c r="A291" s="62">
        <v>34881</v>
      </c>
      <c r="B291" s="9"/>
      <c r="D291" s="9"/>
      <c r="E291" s="10"/>
      <c r="F291" s="33"/>
      <c r="G291" s="33"/>
      <c r="H291" s="12"/>
      <c r="I291" s="8"/>
      <c r="J291" s="33"/>
      <c r="K291" s="10"/>
      <c r="L291" s="33"/>
      <c r="M291" s="10"/>
    </row>
    <row r="292" spans="1:13" x14ac:dyDescent="0.25">
      <c r="A292" s="62">
        <v>34912</v>
      </c>
      <c r="B292" s="9"/>
      <c r="D292" s="9"/>
      <c r="E292" s="10"/>
      <c r="F292" s="33"/>
      <c r="G292" s="33"/>
      <c r="H292" s="12"/>
      <c r="I292" s="8"/>
      <c r="J292" s="33"/>
      <c r="K292" s="10"/>
      <c r="L292" s="33"/>
      <c r="M292" s="10"/>
    </row>
    <row r="293" spans="1:13" x14ac:dyDescent="0.25">
      <c r="A293" s="62">
        <v>34943</v>
      </c>
      <c r="B293" s="9"/>
      <c r="D293" s="9"/>
      <c r="E293" s="10"/>
      <c r="F293" s="33"/>
      <c r="G293" s="33"/>
      <c r="H293" s="12"/>
      <c r="I293" s="8"/>
      <c r="J293" s="33"/>
      <c r="K293" s="10"/>
      <c r="L293" s="33"/>
      <c r="M293" s="10"/>
    </row>
    <row r="294" spans="1:13" x14ac:dyDescent="0.25">
      <c r="A294" s="62">
        <v>34973</v>
      </c>
      <c r="B294" s="9"/>
      <c r="D294" s="9"/>
      <c r="E294" s="10"/>
      <c r="F294" s="33"/>
      <c r="G294" s="33"/>
      <c r="H294" s="12"/>
      <c r="I294" s="8"/>
      <c r="J294" s="33"/>
      <c r="K294" s="10"/>
      <c r="L294" s="33"/>
      <c r="M294" s="10"/>
    </row>
    <row r="295" spans="1:13" x14ac:dyDescent="0.25">
      <c r="A295" s="62">
        <v>35004</v>
      </c>
      <c r="B295" s="9"/>
      <c r="D295" s="9"/>
      <c r="E295" s="10"/>
      <c r="F295" s="33"/>
      <c r="G295" s="33"/>
      <c r="H295" s="12"/>
      <c r="I295" s="8"/>
      <c r="J295" s="33"/>
      <c r="K295" s="10"/>
      <c r="L295" s="33"/>
      <c r="M295" s="10"/>
    </row>
    <row r="296" spans="1:13" x14ac:dyDescent="0.25">
      <c r="A296" s="62">
        <v>35034</v>
      </c>
      <c r="B296" s="9"/>
      <c r="D296" s="9"/>
      <c r="E296" s="10"/>
      <c r="F296" s="33"/>
      <c r="G296" s="33"/>
      <c r="H296" s="12"/>
      <c r="I296" s="8"/>
      <c r="J296" s="33"/>
      <c r="K296" s="10"/>
      <c r="L296" s="33"/>
      <c r="M296" s="10"/>
    </row>
    <row r="297" spans="1:13" x14ac:dyDescent="0.25">
      <c r="A297" s="62">
        <v>35065</v>
      </c>
      <c r="B297" s="9"/>
      <c r="D297" s="9"/>
      <c r="E297" s="10"/>
      <c r="F297" s="33"/>
      <c r="G297" s="33"/>
      <c r="H297" s="12"/>
      <c r="I297" s="8"/>
      <c r="J297" s="33"/>
      <c r="K297" s="10"/>
      <c r="L297" s="33"/>
      <c r="M297" s="10"/>
    </row>
    <row r="298" spans="1:13" x14ac:dyDescent="0.25">
      <c r="A298" s="62">
        <v>35096</v>
      </c>
      <c r="B298" s="9"/>
      <c r="D298" s="9"/>
      <c r="E298" s="10"/>
      <c r="F298" s="33"/>
      <c r="G298" s="33"/>
      <c r="H298" s="12"/>
      <c r="I298" s="8"/>
      <c r="J298" s="33"/>
      <c r="K298" s="10"/>
      <c r="L298" s="33"/>
      <c r="M298" s="10"/>
    </row>
    <row r="299" spans="1:13" x14ac:dyDescent="0.25">
      <c r="A299" s="62">
        <v>35125</v>
      </c>
      <c r="B299" s="9"/>
      <c r="D299" s="9"/>
      <c r="E299" s="10"/>
      <c r="F299" s="33"/>
      <c r="G299" s="33"/>
      <c r="H299" s="12"/>
      <c r="I299" s="8"/>
      <c r="J299" s="33"/>
      <c r="K299" s="10"/>
      <c r="L299" s="33"/>
      <c r="M299" s="10"/>
    </row>
    <row r="300" spans="1:13" x14ac:dyDescent="0.25">
      <c r="A300" s="62">
        <v>35156</v>
      </c>
      <c r="B300" s="9"/>
      <c r="D300" s="9"/>
      <c r="E300" s="10"/>
      <c r="F300" s="33"/>
      <c r="G300" s="33"/>
      <c r="H300" s="12"/>
      <c r="I300" s="8"/>
      <c r="J300" s="33"/>
      <c r="K300" s="10"/>
      <c r="L300" s="33"/>
      <c r="M300" s="10"/>
    </row>
    <row r="301" spans="1:13" x14ac:dyDescent="0.25">
      <c r="A301" s="62">
        <v>35186</v>
      </c>
      <c r="B301" s="9"/>
      <c r="D301" s="9"/>
      <c r="E301" s="10"/>
      <c r="F301" s="33"/>
      <c r="G301" s="33"/>
      <c r="H301" s="12"/>
      <c r="I301" s="8"/>
      <c r="J301" s="33"/>
      <c r="K301" s="10"/>
      <c r="L301" s="33"/>
      <c r="M301" s="10"/>
    </row>
    <row r="302" spans="1:13" x14ac:dyDescent="0.25">
      <c r="A302" s="62">
        <v>35217</v>
      </c>
      <c r="B302" s="9"/>
      <c r="D302" s="9"/>
      <c r="E302" s="10"/>
      <c r="F302" s="33"/>
      <c r="G302" s="33"/>
      <c r="H302" s="12"/>
      <c r="I302" s="8"/>
      <c r="J302" s="33"/>
      <c r="K302" s="10"/>
      <c r="L302" s="33"/>
      <c r="M302" s="10"/>
    </row>
    <row r="303" spans="1:13" x14ac:dyDescent="0.25">
      <c r="A303" s="62">
        <v>35247</v>
      </c>
      <c r="B303" s="9"/>
      <c r="D303" s="9"/>
      <c r="E303" s="10"/>
      <c r="F303" s="33"/>
      <c r="G303" s="33"/>
      <c r="H303" s="12"/>
      <c r="I303" s="8"/>
      <c r="J303" s="33"/>
      <c r="K303" s="10"/>
      <c r="L303" s="33"/>
      <c r="M303" s="10"/>
    </row>
    <row r="304" spans="1:13" x14ac:dyDescent="0.25">
      <c r="A304" s="62">
        <v>35278</v>
      </c>
      <c r="B304" s="9"/>
      <c r="D304" s="9"/>
      <c r="E304" s="10"/>
      <c r="F304" s="33"/>
      <c r="G304" s="33"/>
      <c r="H304" s="12"/>
      <c r="I304" s="8"/>
      <c r="J304" s="33"/>
      <c r="K304" s="10"/>
      <c r="L304" s="33"/>
      <c r="M304" s="10"/>
    </row>
    <row r="305" spans="1:13" x14ac:dyDescent="0.25">
      <c r="A305" s="62">
        <v>35309</v>
      </c>
      <c r="B305" s="9"/>
      <c r="D305" s="9"/>
      <c r="E305" s="10"/>
      <c r="F305" s="33"/>
      <c r="G305" s="33"/>
      <c r="H305" s="12"/>
      <c r="I305" s="8"/>
      <c r="J305" s="33"/>
      <c r="K305" s="10"/>
      <c r="L305" s="33"/>
      <c r="M305" s="10"/>
    </row>
    <row r="306" spans="1:13" x14ac:dyDescent="0.25">
      <c r="A306" s="62">
        <v>35339</v>
      </c>
      <c r="B306" s="9"/>
      <c r="D306" s="9"/>
      <c r="E306" s="10"/>
      <c r="F306" s="33"/>
      <c r="G306" s="33"/>
      <c r="H306" s="12"/>
      <c r="I306" s="8"/>
      <c r="J306" s="33"/>
      <c r="K306" s="10"/>
      <c r="L306" s="33"/>
      <c r="M306" s="10"/>
    </row>
    <row r="307" spans="1:13" x14ac:dyDescent="0.25">
      <c r="A307" s="62">
        <v>35370</v>
      </c>
      <c r="B307" s="9"/>
      <c r="D307" s="9"/>
      <c r="E307" s="10"/>
      <c r="F307" s="33"/>
      <c r="G307" s="33"/>
      <c r="H307" s="12"/>
      <c r="I307" s="8"/>
      <c r="J307" s="33"/>
      <c r="K307" s="10"/>
      <c r="L307" s="33"/>
      <c r="M307" s="10"/>
    </row>
    <row r="308" spans="1:13" x14ac:dyDescent="0.25">
      <c r="A308" s="62">
        <v>35400</v>
      </c>
      <c r="B308" s="9"/>
      <c r="D308" s="9"/>
      <c r="E308" s="10"/>
      <c r="F308" s="33"/>
      <c r="G308" s="33"/>
      <c r="H308" s="12"/>
      <c r="I308" s="8"/>
      <c r="J308" s="33"/>
      <c r="K308" s="10"/>
      <c r="L308" s="33"/>
      <c r="M308" s="10"/>
    </row>
    <row r="309" spans="1:13" x14ac:dyDescent="0.25">
      <c r="A309" s="62">
        <v>35431</v>
      </c>
      <c r="B309" s="9"/>
      <c r="D309" s="9"/>
      <c r="E309" s="10"/>
      <c r="F309" s="33"/>
      <c r="G309" s="33"/>
      <c r="H309" s="12"/>
      <c r="I309" s="8"/>
      <c r="J309" s="33"/>
      <c r="K309" s="10"/>
      <c r="L309" s="33"/>
      <c r="M309" s="10"/>
    </row>
    <row r="310" spans="1:13" x14ac:dyDescent="0.25">
      <c r="A310" s="62">
        <v>35462</v>
      </c>
      <c r="B310" s="9"/>
      <c r="D310" s="9"/>
      <c r="E310" s="10"/>
      <c r="F310" s="33"/>
      <c r="G310" s="33"/>
      <c r="H310" s="12"/>
      <c r="I310" s="8"/>
      <c r="J310" s="33"/>
      <c r="K310" s="10"/>
      <c r="L310" s="33"/>
      <c r="M310" s="10"/>
    </row>
    <row r="311" spans="1:13" x14ac:dyDescent="0.25">
      <c r="A311" s="62">
        <v>35490</v>
      </c>
      <c r="B311" s="9"/>
      <c r="D311" s="9"/>
      <c r="E311" s="10"/>
      <c r="F311" s="33"/>
      <c r="G311" s="33"/>
      <c r="H311" s="12"/>
      <c r="I311" s="8"/>
      <c r="J311" s="33"/>
      <c r="K311" s="10"/>
      <c r="L311" s="33"/>
      <c r="M311" s="10"/>
    </row>
    <row r="312" spans="1:13" x14ac:dyDescent="0.25">
      <c r="A312" s="62">
        <v>35521</v>
      </c>
      <c r="B312" s="9"/>
      <c r="D312" s="9"/>
      <c r="E312" s="10"/>
      <c r="F312" s="33"/>
      <c r="G312" s="33"/>
      <c r="H312" s="12"/>
      <c r="I312" s="8"/>
      <c r="J312" s="33"/>
      <c r="K312" s="10"/>
      <c r="L312" s="33"/>
      <c r="M312" s="10"/>
    </row>
    <row r="313" spans="1:13" x14ac:dyDescent="0.25">
      <c r="A313" s="62">
        <v>35551</v>
      </c>
      <c r="B313" s="9"/>
      <c r="D313" s="9"/>
      <c r="E313" s="10"/>
      <c r="F313" s="33"/>
      <c r="G313" s="33"/>
      <c r="H313" s="12"/>
      <c r="I313" s="8"/>
      <c r="J313" s="33"/>
      <c r="K313" s="10"/>
      <c r="L313" s="33"/>
      <c r="M313" s="10"/>
    </row>
    <row r="314" spans="1:13" x14ac:dyDescent="0.25">
      <c r="A314" s="62">
        <v>35582</v>
      </c>
      <c r="B314" s="9"/>
      <c r="D314" s="9"/>
      <c r="E314" s="10"/>
      <c r="F314" s="33"/>
      <c r="G314" s="33"/>
      <c r="H314" s="12"/>
      <c r="I314" s="8"/>
      <c r="J314" s="33"/>
      <c r="K314" s="10"/>
      <c r="L314" s="33"/>
      <c r="M314" s="10"/>
    </row>
    <row r="315" spans="1:13" x14ac:dyDescent="0.25">
      <c r="A315" s="62">
        <v>35612</v>
      </c>
      <c r="B315" s="9"/>
      <c r="D315" s="9"/>
      <c r="E315" s="10"/>
      <c r="F315" s="33"/>
      <c r="G315" s="33"/>
      <c r="H315" s="12"/>
      <c r="I315" s="8"/>
      <c r="J315" s="33"/>
      <c r="K315" s="10"/>
      <c r="L315" s="33"/>
      <c r="M315" s="10"/>
    </row>
    <row r="316" spans="1:13" x14ac:dyDescent="0.25">
      <c r="A316" s="62">
        <v>35643</v>
      </c>
      <c r="B316" s="9"/>
      <c r="D316" s="9"/>
      <c r="E316" s="10"/>
      <c r="F316" s="33"/>
      <c r="G316" s="33"/>
      <c r="H316" s="12"/>
      <c r="I316" s="8"/>
      <c r="J316" s="33"/>
      <c r="K316" s="10"/>
      <c r="L316" s="33"/>
      <c r="M316" s="10"/>
    </row>
    <row r="317" spans="1:13" x14ac:dyDescent="0.25">
      <c r="A317" s="62">
        <v>35674</v>
      </c>
      <c r="B317" s="9"/>
      <c r="D317" s="9"/>
      <c r="E317" s="10"/>
      <c r="F317" s="33"/>
      <c r="G317" s="33"/>
      <c r="H317" s="12"/>
      <c r="I317" s="8"/>
      <c r="J317" s="33"/>
      <c r="K317" s="10"/>
      <c r="L317" s="33"/>
      <c r="M317" s="10"/>
    </row>
    <row r="318" spans="1:13" x14ac:dyDescent="0.25">
      <c r="A318" s="62">
        <v>35704</v>
      </c>
      <c r="B318" s="9"/>
      <c r="D318" s="9"/>
      <c r="E318" s="10"/>
      <c r="F318" s="33"/>
      <c r="G318" s="33"/>
      <c r="H318" s="12"/>
      <c r="I318" s="8"/>
      <c r="J318" s="33"/>
      <c r="K318" s="10"/>
      <c r="L318" s="33"/>
      <c r="M318" s="10"/>
    </row>
    <row r="319" spans="1:13" x14ac:dyDescent="0.25">
      <c r="A319" s="62">
        <v>35735</v>
      </c>
      <c r="B319" s="9"/>
      <c r="D319" s="9"/>
      <c r="E319" s="10"/>
      <c r="F319" s="33"/>
      <c r="G319" s="33"/>
      <c r="H319" s="12"/>
      <c r="I319" s="8"/>
      <c r="J319" s="33"/>
      <c r="K319" s="10"/>
      <c r="L319" s="33"/>
      <c r="M319" s="10"/>
    </row>
    <row r="320" spans="1:13" x14ac:dyDescent="0.25">
      <c r="A320" s="62">
        <v>35765</v>
      </c>
      <c r="B320" s="9"/>
      <c r="D320" s="9"/>
      <c r="E320" s="10"/>
      <c r="F320" s="33"/>
      <c r="G320" s="33"/>
      <c r="H320" s="12"/>
      <c r="I320" s="8"/>
      <c r="J320" s="33"/>
      <c r="K320" s="10"/>
      <c r="L320" s="33"/>
      <c r="M320" s="10"/>
    </row>
    <row r="321" spans="1:13" x14ac:dyDescent="0.25">
      <c r="A321" s="62">
        <v>35796</v>
      </c>
      <c r="B321" s="9"/>
      <c r="D321" s="9"/>
      <c r="E321" s="10"/>
      <c r="F321" s="33"/>
      <c r="G321" s="33"/>
      <c r="H321" s="12"/>
      <c r="I321" s="8"/>
      <c r="J321" s="33"/>
      <c r="K321" s="10"/>
      <c r="L321" s="33"/>
      <c r="M321" s="10"/>
    </row>
    <row r="322" spans="1:13" x14ac:dyDescent="0.25">
      <c r="A322" s="62">
        <v>35827</v>
      </c>
      <c r="B322" s="9"/>
      <c r="D322" s="9"/>
      <c r="E322" s="10"/>
      <c r="F322" s="33"/>
      <c r="G322" s="33"/>
      <c r="H322" s="12"/>
      <c r="I322" s="8"/>
      <c r="J322" s="33"/>
      <c r="K322" s="10"/>
      <c r="L322" s="33"/>
      <c r="M322" s="10"/>
    </row>
    <row r="323" spans="1:13" x14ac:dyDescent="0.25">
      <c r="A323" s="62">
        <v>35855</v>
      </c>
      <c r="B323" s="9"/>
      <c r="D323" s="9"/>
      <c r="E323" s="10"/>
      <c r="F323" s="33"/>
      <c r="G323" s="33"/>
      <c r="H323" s="12"/>
      <c r="I323" s="8"/>
      <c r="J323" s="33"/>
      <c r="K323" s="10"/>
      <c r="L323" s="33"/>
      <c r="M323" s="10"/>
    </row>
    <row r="324" spans="1:13" x14ac:dyDescent="0.25">
      <c r="A324" s="62">
        <v>35886</v>
      </c>
      <c r="B324" s="9"/>
      <c r="D324" s="9"/>
      <c r="E324" s="10"/>
      <c r="F324" s="33"/>
      <c r="G324" s="33"/>
      <c r="H324" s="12"/>
      <c r="I324" s="8"/>
      <c r="J324" s="33"/>
      <c r="K324" s="10"/>
      <c r="L324" s="33"/>
      <c r="M324" s="10"/>
    </row>
    <row r="325" spans="1:13" x14ac:dyDescent="0.25">
      <c r="A325" s="62">
        <v>35916</v>
      </c>
      <c r="B325" s="9"/>
      <c r="D325" s="9"/>
      <c r="E325" s="10"/>
      <c r="F325" s="33"/>
      <c r="G325" s="33"/>
      <c r="H325" s="12"/>
      <c r="I325" s="8"/>
      <c r="J325" s="33"/>
      <c r="K325" s="10"/>
      <c r="L325" s="33"/>
      <c r="M325" s="10"/>
    </row>
    <row r="326" spans="1:13" x14ac:dyDescent="0.25">
      <c r="A326" s="62">
        <v>35947</v>
      </c>
      <c r="B326" s="9"/>
      <c r="D326" s="9"/>
      <c r="E326" s="10"/>
      <c r="F326" s="33"/>
      <c r="G326" s="33"/>
      <c r="H326" s="12"/>
      <c r="I326" s="8"/>
      <c r="J326" s="33"/>
      <c r="K326" s="10"/>
      <c r="L326" s="33"/>
      <c r="M326" s="10"/>
    </row>
    <row r="327" spans="1:13" x14ac:dyDescent="0.25">
      <c r="A327" s="62">
        <v>35977</v>
      </c>
      <c r="B327" s="9"/>
      <c r="D327" s="9"/>
      <c r="E327" s="10"/>
      <c r="F327" s="33"/>
      <c r="G327" s="33"/>
      <c r="H327" s="12"/>
      <c r="I327" s="8"/>
      <c r="J327" s="33"/>
      <c r="K327" s="10"/>
      <c r="L327" s="33"/>
      <c r="M327" s="10"/>
    </row>
    <row r="328" spans="1:13" x14ac:dyDescent="0.25">
      <c r="A328" s="62">
        <v>36008</v>
      </c>
      <c r="B328" s="9"/>
      <c r="D328" s="9"/>
      <c r="E328" s="10"/>
      <c r="F328" s="33"/>
      <c r="G328" s="33"/>
      <c r="H328" s="12"/>
      <c r="I328" s="8"/>
      <c r="J328" s="33"/>
      <c r="K328" s="10"/>
      <c r="L328" s="33"/>
      <c r="M328" s="10"/>
    </row>
    <row r="329" spans="1:13" x14ac:dyDescent="0.25">
      <c r="A329" s="62">
        <v>36039</v>
      </c>
      <c r="B329" s="9"/>
      <c r="D329" s="9"/>
      <c r="E329" s="10"/>
      <c r="F329" s="33"/>
      <c r="G329" s="33"/>
      <c r="H329" s="12"/>
      <c r="I329" s="8"/>
      <c r="J329" s="33"/>
      <c r="K329" s="10"/>
      <c r="L329" s="33"/>
      <c r="M329" s="10"/>
    </row>
    <row r="330" spans="1:13" x14ac:dyDescent="0.25">
      <c r="A330" s="62">
        <v>36069</v>
      </c>
      <c r="B330" s="9"/>
      <c r="D330" s="9"/>
      <c r="E330" s="10"/>
      <c r="F330" s="33"/>
      <c r="G330" s="33"/>
      <c r="H330" s="12"/>
      <c r="I330" s="8"/>
      <c r="J330" s="33"/>
      <c r="K330" s="10"/>
      <c r="L330" s="33"/>
      <c r="M330" s="10"/>
    </row>
    <row r="331" spans="1:13" x14ac:dyDescent="0.25">
      <c r="A331" s="62">
        <v>36100</v>
      </c>
      <c r="B331" s="9"/>
      <c r="D331" s="9"/>
      <c r="E331" s="10"/>
      <c r="F331" s="33"/>
      <c r="G331" s="33"/>
      <c r="H331" s="12"/>
      <c r="I331" s="8"/>
      <c r="J331" s="33"/>
      <c r="K331" s="10"/>
      <c r="L331" s="33"/>
      <c r="M331" s="10"/>
    </row>
    <row r="332" spans="1:13" x14ac:dyDescent="0.25">
      <c r="A332" s="62">
        <v>36130</v>
      </c>
      <c r="B332" s="9"/>
      <c r="D332" s="9"/>
      <c r="E332" s="10"/>
      <c r="F332" s="33"/>
      <c r="G332" s="33"/>
      <c r="H332" s="12"/>
      <c r="I332" s="8"/>
      <c r="J332" s="33"/>
      <c r="K332" s="10"/>
      <c r="L332" s="33"/>
      <c r="M332" s="10"/>
    </row>
    <row r="333" spans="1:13" x14ac:dyDescent="0.25">
      <c r="A333" s="62">
        <v>36161</v>
      </c>
      <c r="B333" s="9"/>
      <c r="D333" s="9"/>
      <c r="E333" s="10"/>
      <c r="F333" s="33"/>
      <c r="G333" s="33"/>
      <c r="H333" s="12"/>
      <c r="I333" s="8"/>
      <c r="J333" s="33"/>
      <c r="K333" s="10"/>
      <c r="L333" s="33"/>
      <c r="M333" s="10"/>
    </row>
    <row r="334" spans="1:13" x14ac:dyDescent="0.25">
      <c r="A334" s="62">
        <v>36192</v>
      </c>
      <c r="B334" s="9"/>
      <c r="D334" s="9"/>
      <c r="E334" s="10"/>
      <c r="F334" s="33"/>
      <c r="G334" s="33"/>
      <c r="H334" s="12"/>
      <c r="I334" s="8"/>
      <c r="J334" s="33"/>
      <c r="K334" s="10"/>
      <c r="L334" s="33"/>
      <c r="M334" s="10"/>
    </row>
    <row r="335" spans="1:13" x14ac:dyDescent="0.25">
      <c r="A335" s="62">
        <v>36220</v>
      </c>
      <c r="B335" s="9"/>
      <c r="D335" s="9"/>
      <c r="E335" s="10"/>
      <c r="F335" s="33"/>
      <c r="G335" s="33"/>
      <c r="H335" s="12"/>
      <c r="I335" s="8"/>
      <c r="J335" s="33"/>
      <c r="K335" s="10"/>
      <c r="L335" s="33"/>
      <c r="M335" s="10"/>
    </row>
    <row r="336" spans="1:13" x14ac:dyDescent="0.25">
      <c r="A336" s="62">
        <v>36251</v>
      </c>
      <c r="B336" s="9"/>
      <c r="D336" s="9"/>
      <c r="E336" s="10"/>
      <c r="F336" s="33"/>
      <c r="G336" s="33"/>
      <c r="H336" s="12"/>
      <c r="I336" s="8"/>
      <c r="J336" s="33"/>
      <c r="K336" s="10"/>
      <c r="L336" s="33"/>
      <c r="M336" s="10"/>
    </row>
    <row r="337" spans="1:13" x14ac:dyDescent="0.25">
      <c r="A337" s="62">
        <v>36281</v>
      </c>
      <c r="B337" s="9"/>
      <c r="D337" s="9"/>
      <c r="E337" s="10"/>
      <c r="F337" s="33"/>
      <c r="G337" s="33"/>
      <c r="H337" s="12"/>
      <c r="I337" s="8"/>
      <c r="J337" s="33"/>
      <c r="K337" s="10"/>
      <c r="L337" s="33"/>
      <c r="M337" s="10"/>
    </row>
    <row r="338" spans="1:13" x14ac:dyDescent="0.25">
      <c r="A338" s="62">
        <v>36312</v>
      </c>
      <c r="B338" s="9"/>
      <c r="D338" s="9"/>
      <c r="E338" s="10"/>
      <c r="F338" s="33"/>
      <c r="G338" s="33"/>
      <c r="H338" s="12"/>
      <c r="I338" s="8"/>
      <c r="J338" s="33"/>
      <c r="K338" s="10"/>
      <c r="L338" s="33"/>
      <c r="M338" s="10"/>
    </row>
    <row r="339" spans="1:13" x14ac:dyDescent="0.25">
      <c r="A339" s="62">
        <v>36342</v>
      </c>
      <c r="B339" s="9"/>
      <c r="D339" s="9"/>
      <c r="E339" s="10"/>
      <c r="F339" s="33"/>
      <c r="G339" s="33"/>
      <c r="H339" s="12"/>
      <c r="I339" s="8"/>
      <c r="J339" s="33"/>
      <c r="K339" s="10"/>
      <c r="L339" s="33"/>
      <c r="M339" s="10"/>
    </row>
    <row r="340" spans="1:13" x14ac:dyDescent="0.25">
      <c r="A340" s="62">
        <v>36373</v>
      </c>
      <c r="B340" s="9"/>
      <c r="D340" s="9"/>
      <c r="E340" s="10"/>
      <c r="F340" s="33"/>
      <c r="G340" s="33"/>
      <c r="H340" s="12"/>
      <c r="I340" s="8"/>
      <c r="J340" s="33"/>
      <c r="K340" s="10"/>
      <c r="L340" s="33"/>
      <c r="M340" s="10"/>
    </row>
    <row r="341" spans="1:13" x14ac:dyDescent="0.25">
      <c r="A341" s="62">
        <v>36404</v>
      </c>
      <c r="B341" s="9"/>
      <c r="D341" s="9"/>
      <c r="E341" s="10"/>
      <c r="F341" s="33"/>
      <c r="G341" s="33"/>
      <c r="H341" s="12"/>
      <c r="I341" s="8"/>
      <c r="J341" s="33"/>
      <c r="K341" s="10"/>
      <c r="L341" s="33"/>
      <c r="M341" s="10"/>
    </row>
    <row r="342" spans="1:13" x14ac:dyDescent="0.25">
      <c r="A342" s="62">
        <v>36434</v>
      </c>
      <c r="B342" s="9"/>
      <c r="D342" s="9"/>
      <c r="E342" s="10"/>
      <c r="F342" s="33"/>
      <c r="G342" s="33"/>
      <c r="H342" s="12"/>
      <c r="I342" s="8"/>
      <c r="J342" s="33"/>
      <c r="K342" s="10"/>
      <c r="L342" s="33"/>
      <c r="M342" s="10"/>
    </row>
    <row r="343" spans="1:13" x14ac:dyDescent="0.25">
      <c r="A343" s="62">
        <v>36465</v>
      </c>
      <c r="B343" s="9"/>
      <c r="D343" s="9"/>
      <c r="E343" s="10"/>
      <c r="F343" s="33"/>
      <c r="G343" s="33"/>
      <c r="H343" s="12"/>
      <c r="I343" s="8"/>
      <c r="J343" s="33"/>
      <c r="K343" s="10"/>
      <c r="L343" s="33"/>
      <c r="M343" s="10"/>
    </row>
    <row r="344" spans="1:13" x14ac:dyDescent="0.25">
      <c r="A344" s="62">
        <v>36495</v>
      </c>
      <c r="B344" s="9"/>
      <c r="D344" s="9"/>
      <c r="E344" s="10"/>
      <c r="F344" s="33"/>
      <c r="G344" s="33"/>
      <c r="H344" s="12"/>
      <c r="I344" s="8"/>
      <c r="J344" s="33"/>
      <c r="K344" s="10"/>
      <c r="L344" s="33"/>
      <c r="M344" s="10"/>
    </row>
    <row r="345" spans="1:13" x14ac:dyDescent="0.25">
      <c r="A345" s="62">
        <v>36526</v>
      </c>
      <c r="B345" s="9"/>
      <c r="D345" s="9"/>
      <c r="E345" s="10"/>
      <c r="F345" s="33"/>
      <c r="G345" s="33"/>
      <c r="H345" s="12"/>
      <c r="I345" s="8"/>
      <c r="J345" s="33"/>
      <c r="K345" s="10"/>
      <c r="L345" s="33"/>
      <c r="M345" s="10"/>
    </row>
    <row r="346" spans="1:13" x14ac:dyDescent="0.25">
      <c r="A346" s="62">
        <v>36557</v>
      </c>
      <c r="B346" s="9"/>
      <c r="D346" s="9"/>
      <c r="E346" s="10"/>
      <c r="F346" s="33"/>
      <c r="G346" s="33"/>
      <c r="H346" s="12"/>
      <c r="I346" s="8"/>
      <c r="J346" s="33"/>
      <c r="K346" s="10"/>
      <c r="L346" s="33"/>
      <c r="M346" s="10"/>
    </row>
    <row r="347" spans="1:13" x14ac:dyDescent="0.25">
      <c r="A347" s="62">
        <v>36586</v>
      </c>
      <c r="B347" s="9"/>
      <c r="D347" s="9"/>
      <c r="E347" s="10"/>
      <c r="F347" s="33"/>
      <c r="G347" s="33"/>
      <c r="H347" s="12"/>
      <c r="I347" s="8"/>
      <c r="J347" s="33"/>
      <c r="K347" s="10"/>
      <c r="L347" s="33"/>
      <c r="M347" s="10"/>
    </row>
    <row r="348" spans="1:13" x14ac:dyDescent="0.25">
      <c r="A348" s="62">
        <v>36617</v>
      </c>
      <c r="B348" s="9"/>
      <c r="D348" s="9"/>
      <c r="E348" s="10"/>
      <c r="F348" s="33"/>
      <c r="G348" s="33"/>
      <c r="H348" s="12"/>
      <c r="I348" s="8"/>
      <c r="J348" s="33"/>
      <c r="K348" s="10"/>
      <c r="L348" s="33"/>
      <c r="M348" s="10"/>
    </row>
    <row r="349" spans="1:13" x14ac:dyDescent="0.25">
      <c r="A349" s="62">
        <v>36647</v>
      </c>
      <c r="B349" s="9"/>
      <c r="D349" s="9"/>
      <c r="E349" s="10"/>
      <c r="F349" s="33"/>
      <c r="G349" s="33"/>
      <c r="H349" s="12"/>
      <c r="I349" s="8"/>
      <c r="J349" s="33"/>
      <c r="K349" s="10"/>
      <c r="L349" s="33"/>
      <c r="M349" s="10"/>
    </row>
    <row r="350" spans="1:13" x14ac:dyDescent="0.25">
      <c r="A350" s="62">
        <v>36678</v>
      </c>
      <c r="B350" s="9"/>
      <c r="D350" s="9"/>
      <c r="E350" s="10"/>
      <c r="F350" s="33"/>
      <c r="G350" s="33"/>
      <c r="H350" s="12"/>
      <c r="I350" s="8"/>
      <c r="J350" s="33"/>
      <c r="K350" s="10"/>
      <c r="L350" s="33"/>
      <c r="M350" s="10"/>
    </row>
    <row r="351" spans="1:13" x14ac:dyDescent="0.25">
      <c r="A351" s="62">
        <v>36708</v>
      </c>
      <c r="B351" s="9"/>
      <c r="D351" s="9"/>
      <c r="E351" s="10"/>
      <c r="F351" s="33"/>
      <c r="G351" s="33"/>
      <c r="H351" s="12"/>
      <c r="I351" s="8"/>
      <c r="J351" s="33"/>
      <c r="K351" s="10"/>
      <c r="L351" s="33"/>
      <c r="M351" s="10"/>
    </row>
    <row r="352" spans="1:13" x14ac:dyDescent="0.25">
      <c r="A352" s="62">
        <v>36739</v>
      </c>
      <c r="B352" s="9"/>
      <c r="D352" s="9"/>
      <c r="E352" s="10"/>
      <c r="F352" s="33"/>
      <c r="G352" s="33"/>
      <c r="H352" s="12"/>
      <c r="I352" s="8"/>
      <c r="J352" s="33"/>
      <c r="K352" s="10"/>
      <c r="L352" s="33"/>
      <c r="M352" s="10"/>
    </row>
    <row r="353" spans="1:13" x14ac:dyDescent="0.25">
      <c r="A353" s="62">
        <v>36770</v>
      </c>
      <c r="B353" s="9"/>
      <c r="D353" s="9"/>
      <c r="E353" s="10"/>
      <c r="F353" s="33"/>
      <c r="G353" s="33"/>
      <c r="H353" s="12"/>
      <c r="I353" s="8"/>
      <c r="J353" s="33"/>
      <c r="K353" s="10"/>
      <c r="L353" s="33"/>
      <c r="M353" s="10"/>
    </row>
    <row r="354" spans="1:13" x14ac:dyDescent="0.25">
      <c r="A354" s="62">
        <v>36800</v>
      </c>
      <c r="B354" s="9"/>
      <c r="D354" s="9"/>
      <c r="E354" s="10"/>
      <c r="F354" s="33"/>
      <c r="G354" s="33"/>
      <c r="H354" s="12"/>
      <c r="I354" s="8"/>
      <c r="J354" s="33"/>
      <c r="K354" s="10"/>
      <c r="L354" s="33"/>
      <c r="M354" s="10"/>
    </row>
    <row r="355" spans="1:13" x14ac:dyDescent="0.25">
      <c r="A355" s="62">
        <v>36831</v>
      </c>
      <c r="B355" s="9"/>
      <c r="D355" s="9"/>
      <c r="E355" s="10"/>
      <c r="F355" s="33"/>
      <c r="G355" s="33"/>
      <c r="H355" s="12"/>
      <c r="I355" s="8"/>
      <c r="J355" s="33"/>
      <c r="K355" s="10"/>
      <c r="L355" s="33"/>
      <c r="M355" s="10"/>
    </row>
    <row r="356" spans="1:13" x14ac:dyDescent="0.25">
      <c r="A356" s="62">
        <v>36861</v>
      </c>
      <c r="B356" s="9"/>
      <c r="D356" s="9"/>
      <c r="E356" s="10"/>
      <c r="F356" s="33"/>
      <c r="G356" s="33"/>
      <c r="H356" s="12"/>
      <c r="I356" s="8"/>
      <c r="J356" s="33"/>
      <c r="K356" s="10"/>
      <c r="L356" s="33"/>
      <c r="M356" s="10"/>
    </row>
    <row r="357" spans="1:13" x14ac:dyDescent="0.25">
      <c r="A357" s="62">
        <v>36892</v>
      </c>
      <c r="B357" s="9"/>
      <c r="D357" s="9"/>
      <c r="E357" s="10"/>
      <c r="F357" s="33"/>
      <c r="G357" s="33"/>
      <c r="H357" s="12"/>
      <c r="I357" s="8"/>
      <c r="J357" s="33"/>
      <c r="K357" s="10"/>
      <c r="L357" s="33"/>
      <c r="M357" s="10"/>
    </row>
    <row r="358" spans="1:13" x14ac:dyDescent="0.25">
      <c r="A358" s="62">
        <v>36923</v>
      </c>
      <c r="B358" s="9"/>
      <c r="D358" s="9"/>
      <c r="E358" s="10"/>
      <c r="F358" s="33"/>
      <c r="G358" s="33"/>
      <c r="H358" s="12"/>
      <c r="I358" s="8"/>
      <c r="J358" s="33"/>
      <c r="K358" s="10"/>
      <c r="L358" s="33"/>
      <c r="M358" s="10"/>
    </row>
    <row r="359" spans="1:13" x14ac:dyDescent="0.25">
      <c r="A359" s="62">
        <v>36951</v>
      </c>
      <c r="B359" s="9"/>
      <c r="D359" s="9"/>
      <c r="E359" s="10"/>
      <c r="F359" s="33"/>
      <c r="G359" s="33"/>
      <c r="H359" s="12"/>
      <c r="I359" s="8"/>
      <c r="J359" s="33"/>
      <c r="K359" s="10"/>
      <c r="L359" s="33"/>
      <c r="M359" s="10"/>
    </row>
    <row r="360" spans="1:13" x14ac:dyDescent="0.25">
      <c r="A360" s="62">
        <v>36982</v>
      </c>
      <c r="B360" s="9"/>
      <c r="D360" s="9"/>
      <c r="E360" s="10"/>
      <c r="F360" s="33"/>
      <c r="G360" s="33"/>
      <c r="H360" s="12"/>
      <c r="I360" s="8"/>
      <c r="J360" s="33"/>
      <c r="K360" s="10"/>
      <c r="L360" s="33"/>
      <c r="M360" s="10"/>
    </row>
    <row r="361" spans="1:13" x14ac:dyDescent="0.25">
      <c r="A361" s="62">
        <v>37012</v>
      </c>
      <c r="B361" s="9"/>
      <c r="D361" s="9"/>
      <c r="E361" s="10"/>
      <c r="F361" s="33"/>
      <c r="G361" s="33"/>
      <c r="H361" s="12"/>
      <c r="I361" s="8"/>
      <c r="J361" s="33"/>
      <c r="K361" s="10"/>
      <c r="L361" s="33"/>
      <c r="M361" s="10"/>
    </row>
    <row r="362" spans="1:13" x14ac:dyDescent="0.25">
      <c r="A362" s="62">
        <v>37043</v>
      </c>
      <c r="B362" s="9"/>
      <c r="D362" s="9"/>
      <c r="E362" s="10"/>
      <c r="F362" s="33"/>
      <c r="G362" s="33"/>
      <c r="H362" s="12"/>
      <c r="I362" s="8"/>
      <c r="J362" s="33"/>
      <c r="K362" s="10"/>
      <c r="L362" s="33"/>
      <c r="M362" s="10"/>
    </row>
    <row r="363" spans="1:13" x14ac:dyDescent="0.25">
      <c r="A363" s="62">
        <v>37073</v>
      </c>
      <c r="B363" s="9"/>
      <c r="D363" s="9"/>
      <c r="E363" s="10"/>
      <c r="F363" s="33"/>
      <c r="G363" s="33"/>
      <c r="H363" s="12"/>
      <c r="I363" s="8"/>
      <c r="J363" s="33"/>
      <c r="K363" s="10"/>
      <c r="L363" s="33"/>
      <c r="M363" s="10"/>
    </row>
    <row r="364" spans="1:13" x14ac:dyDescent="0.25">
      <c r="A364" s="62">
        <v>37104</v>
      </c>
      <c r="B364" s="9"/>
      <c r="D364" s="9"/>
      <c r="E364" s="10"/>
      <c r="F364" s="33"/>
      <c r="G364" s="33"/>
      <c r="H364" s="12"/>
      <c r="I364" s="8"/>
      <c r="J364" s="33"/>
      <c r="K364" s="10"/>
      <c r="L364" s="33"/>
      <c r="M364" s="10"/>
    </row>
    <row r="365" spans="1:13" x14ac:dyDescent="0.25">
      <c r="A365" s="62">
        <v>37135</v>
      </c>
      <c r="B365" s="9"/>
      <c r="D365" s="9"/>
      <c r="E365" s="10"/>
      <c r="F365" s="33"/>
      <c r="G365" s="33"/>
      <c r="H365" s="12"/>
      <c r="I365" s="8"/>
      <c r="J365" s="33"/>
      <c r="K365" s="10"/>
      <c r="L365" s="33"/>
      <c r="M365" s="10"/>
    </row>
    <row r="366" spans="1:13" x14ac:dyDescent="0.25">
      <c r="A366" s="62">
        <v>37165</v>
      </c>
      <c r="B366" s="9"/>
      <c r="D366" s="9"/>
      <c r="E366" s="10"/>
      <c r="F366" s="33"/>
      <c r="G366" s="33"/>
      <c r="H366" s="12"/>
      <c r="I366" s="8"/>
      <c r="J366" s="33"/>
      <c r="K366" s="10"/>
      <c r="L366" s="33"/>
      <c r="M366" s="10"/>
    </row>
    <row r="367" spans="1:13" x14ac:dyDescent="0.25">
      <c r="A367" s="62">
        <v>37196</v>
      </c>
      <c r="B367" s="9"/>
      <c r="D367" s="9"/>
      <c r="E367" s="10"/>
      <c r="F367" s="33"/>
      <c r="G367" s="33"/>
      <c r="H367" s="12"/>
      <c r="I367" s="8"/>
      <c r="J367" s="33"/>
      <c r="K367" s="10"/>
      <c r="L367" s="33"/>
      <c r="M367" s="10"/>
    </row>
    <row r="368" spans="1:13" x14ac:dyDescent="0.25">
      <c r="A368" s="62">
        <v>37226</v>
      </c>
      <c r="B368" s="9"/>
      <c r="D368" s="9"/>
      <c r="E368" s="10"/>
      <c r="F368" s="33"/>
      <c r="G368" s="33"/>
      <c r="H368" s="12"/>
      <c r="I368" s="8"/>
      <c r="J368" s="33"/>
      <c r="K368" s="10"/>
      <c r="L368" s="33"/>
      <c r="M368" s="10"/>
    </row>
    <row r="369" spans="1:13" x14ac:dyDescent="0.25">
      <c r="A369" s="62">
        <v>37257</v>
      </c>
      <c r="B369" s="9"/>
      <c r="D369" s="9"/>
      <c r="E369" s="10"/>
      <c r="F369" s="33"/>
      <c r="G369" s="33"/>
      <c r="H369" s="12"/>
      <c r="I369" s="8"/>
      <c r="J369" s="33"/>
      <c r="K369" s="10"/>
      <c r="L369" s="33"/>
      <c r="M369" s="10"/>
    </row>
    <row r="370" spans="1:13" x14ac:dyDescent="0.25">
      <c r="A370" s="62">
        <v>37288</v>
      </c>
      <c r="B370" s="9"/>
      <c r="D370" s="9"/>
      <c r="E370" s="10"/>
      <c r="F370" s="33"/>
      <c r="G370" s="33"/>
      <c r="H370" s="12"/>
      <c r="I370" s="8"/>
      <c r="J370" s="33"/>
      <c r="K370" s="10"/>
      <c r="L370" s="33"/>
      <c r="M370" s="10"/>
    </row>
    <row r="371" spans="1:13" x14ac:dyDescent="0.25">
      <c r="A371" s="62">
        <v>37316</v>
      </c>
      <c r="B371" s="9"/>
      <c r="D371" s="9"/>
      <c r="E371" s="10"/>
      <c r="F371" s="33"/>
      <c r="G371" s="33"/>
      <c r="H371" s="12"/>
      <c r="I371" s="8"/>
      <c r="J371" s="33"/>
      <c r="K371" s="10"/>
      <c r="L371" s="33"/>
      <c r="M371" s="10"/>
    </row>
    <row r="372" spans="1:13" x14ac:dyDescent="0.25">
      <c r="A372" s="62">
        <v>37347</v>
      </c>
      <c r="B372" s="9"/>
      <c r="D372" s="9"/>
      <c r="E372" s="10"/>
      <c r="F372" s="33"/>
      <c r="G372" s="33"/>
      <c r="H372" s="12"/>
      <c r="I372" s="8"/>
      <c r="J372" s="33"/>
      <c r="K372" s="10"/>
      <c r="L372" s="33"/>
      <c r="M372" s="10"/>
    </row>
    <row r="373" spans="1:13" x14ac:dyDescent="0.25">
      <c r="A373" s="62">
        <v>37377</v>
      </c>
      <c r="B373" s="9"/>
      <c r="D373" s="9"/>
      <c r="E373" s="10"/>
      <c r="F373" s="33"/>
      <c r="G373" s="33"/>
      <c r="H373" s="12"/>
      <c r="I373" s="8"/>
      <c r="J373" s="33"/>
      <c r="K373" s="10"/>
      <c r="L373" s="33"/>
      <c r="M373" s="10"/>
    </row>
    <row r="374" spans="1:13" x14ac:dyDescent="0.25">
      <c r="A374" s="62">
        <v>37408</v>
      </c>
      <c r="B374" s="9"/>
      <c r="D374" s="9"/>
      <c r="E374" s="10"/>
      <c r="F374" s="33"/>
      <c r="G374" s="33"/>
      <c r="H374" s="12"/>
      <c r="I374" s="8"/>
      <c r="J374" s="33"/>
      <c r="K374" s="10"/>
      <c r="L374" s="33"/>
      <c r="M374" s="10"/>
    </row>
    <row r="375" spans="1:13" x14ac:dyDescent="0.25">
      <c r="A375" s="62">
        <v>37438</v>
      </c>
      <c r="B375" s="9"/>
      <c r="D375" s="9"/>
      <c r="E375" s="10"/>
      <c r="F375" s="33"/>
      <c r="G375" s="33"/>
      <c r="H375" s="12"/>
      <c r="I375" s="8"/>
      <c r="J375" s="33"/>
      <c r="K375" s="10"/>
      <c r="L375" s="33"/>
      <c r="M375" s="10"/>
    </row>
    <row r="376" spans="1:13" x14ac:dyDescent="0.25">
      <c r="A376" s="62">
        <v>37469</v>
      </c>
      <c r="B376" s="9"/>
      <c r="D376" s="9"/>
      <c r="E376" s="10"/>
      <c r="F376" s="33"/>
      <c r="G376" s="33"/>
      <c r="H376" s="12"/>
      <c r="I376" s="8"/>
      <c r="J376" s="33"/>
      <c r="K376" s="10"/>
      <c r="L376" s="33"/>
      <c r="M376" s="10"/>
    </row>
    <row r="377" spans="1:13" x14ac:dyDescent="0.25">
      <c r="A377" s="62">
        <v>37500</v>
      </c>
      <c r="B377" s="9"/>
      <c r="D377" s="9"/>
      <c r="E377" s="10"/>
      <c r="F377" s="33"/>
      <c r="G377" s="33"/>
      <c r="H377" s="12"/>
      <c r="I377" s="8"/>
      <c r="J377" s="33"/>
      <c r="K377" s="10"/>
      <c r="L377" s="33"/>
      <c r="M377" s="10"/>
    </row>
    <row r="378" spans="1:13" x14ac:dyDescent="0.25">
      <c r="A378" s="62">
        <v>37530</v>
      </c>
      <c r="B378" s="9"/>
      <c r="D378" s="9"/>
      <c r="E378" s="10"/>
      <c r="F378" s="33"/>
      <c r="G378" s="33"/>
      <c r="H378" s="12"/>
      <c r="I378" s="8"/>
      <c r="J378" s="33"/>
      <c r="K378" s="10"/>
      <c r="L378" s="33"/>
      <c r="M378" s="10"/>
    </row>
    <row r="379" spans="1:13" x14ac:dyDescent="0.25">
      <c r="A379" s="62">
        <v>37561</v>
      </c>
      <c r="B379" s="9"/>
      <c r="D379" s="9"/>
      <c r="E379" s="10"/>
      <c r="F379" s="33"/>
      <c r="G379" s="33"/>
      <c r="H379" s="12"/>
      <c r="I379" s="8"/>
      <c r="J379" s="33"/>
      <c r="K379" s="10"/>
      <c r="L379" s="33"/>
      <c r="M379" s="10"/>
    </row>
    <row r="380" spans="1:13" x14ac:dyDescent="0.25">
      <c r="A380" s="62">
        <v>37591</v>
      </c>
      <c r="B380" s="9"/>
      <c r="D380" s="9"/>
      <c r="E380" s="10"/>
      <c r="F380" s="33"/>
      <c r="G380" s="33"/>
      <c r="H380" s="12"/>
      <c r="I380" s="8"/>
      <c r="J380" s="33"/>
      <c r="K380" s="10"/>
      <c r="L380" s="33"/>
      <c r="M380" s="10"/>
    </row>
    <row r="381" spans="1:13" x14ac:dyDescent="0.25">
      <c r="A381" s="62">
        <v>37622</v>
      </c>
      <c r="B381" s="9"/>
      <c r="D381" s="9"/>
      <c r="E381" s="10"/>
      <c r="F381" s="33"/>
      <c r="G381" s="33"/>
      <c r="H381" s="12"/>
      <c r="I381" s="8"/>
      <c r="J381" s="33"/>
      <c r="K381" s="10"/>
      <c r="L381" s="33"/>
      <c r="M381" s="10"/>
    </row>
    <row r="382" spans="1:13" x14ac:dyDescent="0.25">
      <c r="A382" s="62">
        <v>37653</v>
      </c>
      <c r="B382" s="9"/>
      <c r="D382" s="9"/>
      <c r="E382" s="10"/>
      <c r="F382" s="33"/>
      <c r="G382" s="33"/>
      <c r="H382" s="12"/>
      <c r="I382" s="8"/>
      <c r="J382" s="33"/>
      <c r="K382" s="10"/>
      <c r="L382" s="33"/>
      <c r="M382" s="10"/>
    </row>
    <row r="383" spans="1:13" x14ac:dyDescent="0.25">
      <c r="A383" s="62">
        <v>37681</v>
      </c>
      <c r="B383" s="9"/>
      <c r="D383" s="9"/>
      <c r="E383" s="10"/>
      <c r="F383" s="33"/>
      <c r="G383" s="33"/>
      <c r="H383" s="12"/>
      <c r="I383" s="8"/>
      <c r="J383" s="33"/>
      <c r="K383" s="10"/>
      <c r="L383" s="33"/>
      <c r="M383" s="10"/>
    </row>
    <row r="384" spans="1:13" x14ac:dyDescent="0.25">
      <c r="A384" s="62">
        <v>37712</v>
      </c>
      <c r="B384" s="9"/>
      <c r="D384" s="9"/>
      <c r="E384" s="10"/>
      <c r="F384" s="33"/>
      <c r="G384" s="33"/>
      <c r="H384" s="12"/>
      <c r="I384" s="8"/>
      <c r="J384" s="33"/>
      <c r="K384" s="10"/>
      <c r="L384" s="33"/>
      <c r="M384" s="10"/>
    </row>
    <row r="385" spans="1:13" x14ac:dyDescent="0.25">
      <c r="A385" s="62">
        <v>37742</v>
      </c>
      <c r="B385" s="9"/>
      <c r="D385" s="9"/>
      <c r="E385" s="10"/>
      <c r="F385" s="33"/>
      <c r="G385" s="33"/>
      <c r="H385" s="12"/>
      <c r="I385" s="8"/>
      <c r="J385" s="33"/>
      <c r="K385" s="10"/>
      <c r="L385" s="33"/>
      <c r="M385" s="10"/>
    </row>
    <row r="386" spans="1:13" x14ac:dyDescent="0.25">
      <c r="A386" s="62">
        <v>37773</v>
      </c>
      <c r="B386" s="9"/>
      <c r="D386" s="9"/>
      <c r="E386" s="10"/>
      <c r="F386" s="33"/>
      <c r="G386" s="33"/>
      <c r="H386" s="12"/>
      <c r="I386" s="8"/>
      <c r="J386" s="33"/>
      <c r="K386" s="10"/>
      <c r="L386" s="33"/>
      <c r="M386" s="10"/>
    </row>
    <row r="387" spans="1:13" x14ac:dyDescent="0.25">
      <c r="A387" s="62">
        <v>37803</v>
      </c>
      <c r="B387" s="9"/>
      <c r="D387" s="9"/>
      <c r="E387" s="10"/>
      <c r="F387" s="33"/>
      <c r="G387" s="33"/>
      <c r="H387" s="12"/>
      <c r="I387" s="8"/>
      <c r="J387" s="33"/>
      <c r="K387" s="10"/>
      <c r="L387" s="33"/>
      <c r="M387" s="10"/>
    </row>
    <row r="388" spans="1:13" x14ac:dyDescent="0.25">
      <c r="A388" s="62">
        <v>37834</v>
      </c>
      <c r="B388" s="9"/>
      <c r="D388" s="9"/>
      <c r="E388" s="10"/>
      <c r="F388" s="33"/>
      <c r="G388" s="33"/>
      <c r="H388" s="12"/>
      <c r="I388" s="8"/>
      <c r="J388" s="33"/>
      <c r="K388" s="10"/>
      <c r="L388" s="33"/>
      <c r="M388" s="10"/>
    </row>
    <row r="389" spans="1:13" x14ac:dyDescent="0.25">
      <c r="A389" s="62">
        <v>37865</v>
      </c>
      <c r="B389" s="9"/>
      <c r="D389" s="9"/>
      <c r="E389" s="10"/>
      <c r="F389" s="33"/>
      <c r="G389" s="33"/>
      <c r="H389" s="12"/>
      <c r="I389" s="8"/>
      <c r="J389" s="33"/>
      <c r="K389" s="10"/>
      <c r="L389" s="33"/>
      <c r="M389" s="10"/>
    </row>
    <row r="390" spans="1:13" x14ac:dyDescent="0.25">
      <c r="A390" s="62">
        <v>37895</v>
      </c>
      <c r="B390" s="9"/>
      <c r="D390" s="9"/>
      <c r="E390" s="10"/>
      <c r="F390" s="33"/>
      <c r="G390" s="33"/>
      <c r="H390" s="12"/>
      <c r="I390" s="8"/>
      <c r="J390" s="33"/>
      <c r="K390" s="10"/>
      <c r="L390" s="33"/>
      <c r="M390" s="10"/>
    </row>
    <row r="391" spans="1:13" x14ac:dyDescent="0.25">
      <c r="A391" s="62">
        <v>37926</v>
      </c>
      <c r="B391" s="9"/>
      <c r="D391" s="9"/>
      <c r="E391" s="10"/>
      <c r="F391" s="33"/>
      <c r="G391" s="33"/>
      <c r="H391" s="12"/>
      <c r="I391" s="8"/>
      <c r="J391" s="33"/>
      <c r="K391" s="10"/>
      <c r="L391" s="33"/>
      <c r="M391" s="10"/>
    </row>
    <row r="392" spans="1:13" x14ac:dyDescent="0.25">
      <c r="A392" s="62">
        <v>37956</v>
      </c>
      <c r="B392" s="9"/>
      <c r="D392" s="9"/>
      <c r="E392" s="10"/>
      <c r="F392" s="33"/>
      <c r="G392" s="33"/>
      <c r="H392" s="12"/>
      <c r="I392" s="8"/>
      <c r="J392" s="33"/>
      <c r="K392" s="10"/>
      <c r="L392" s="33"/>
      <c r="M392" s="10"/>
    </row>
    <row r="393" spans="1:13" x14ac:dyDescent="0.25">
      <c r="A393" s="62">
        <v>37987</v>
      </c>
      <c r="B393" s="9"/>
      <c r="D393" s="9"/>
      <c r="E393" s="10"/>
      <c r="F393" s="33"/>
      <c r="G393" s="33"/>
      <c r="H393" s="12"/>
      <c r="I393" s="8"/>
      <c r="J393" s="33"/>
      <c r="K393" s="10"/>
      <c r="L393" s="33"/>
      <c r="M393" s="10"/>
    </row>
    <row r="394" spans="1:13" x14ac:dyDescent="0.25">
      <c r="A394" s="62">
        <v>38018</v>
      </c>
      <c r="B394" s="9"/>
      <c r="D394" s="9"/>
      <c r="E394" s="10"/>
      <c r="F394" s="33"/>
      <c r="G394" s="33"/>
      <c r="H394" s="12"/>
      <c r="I394" s="8"/>
      <c r="J394" s="33"/>
      <c r="K394" s="10"/>
      <c r="L394" s="33"/>
      <c r="M394" s="10"/>
    </row>
    <row r="395" spans="1:13" x14ac:dyDescent="0.25">
      <c r="A395" s="62">
        <v>38047</v>
      </c>
      <c r="B395" s="9"/>
      <c r="D395" s="9"/>
      <c r="E395" s="10"/>
      <c r="F395" s="33"/>
      <c r="G395" s="33"/>
      <c r="H395" s="12"/>
      <c r="I395" s="8"/>
      <c r="J395" s="33"/>
      <c r="K395" s="10"/>
      <c r="L395" s="33"/>
      <c r="M395" s="10"/>
    </row>
    <row r="396" spans="1:13" x14ac:dyDescent="0.25">
      <c r="A396" s="62">
        <v>38078</v>
      </c>
      <c r="B396" s="9"/>
      <c r="D396" s="9"/>
      <c r="E396" s="10"/>
      <c r="F396" s="33"/>
      <c r="G396" s="33"/>
      <c r="H396" s="12"/>
      <c r="I396" s="8"/>
      <c r="J396" s="33"/>
      <c r="K396" s="10"/>
      <c r="L396" s="33"/>
      <c r="M396" s="10"/>
    </row>
    <row r="397" spans="1:13" x14ac:dyDescent="0.25">
      <c r="A397" s="62">
        <v>38108</v>
      </c>
      <c r="B397" s="9"/>
      <c r="D397" s="9"/>
      <c r="E397" s="10"/>
      <c r="F397" s="33"/>
      <c r="G397" s="33"/>
      <c r="H397" s="12"/>
      <c r="I397" s="8"/>
      <c r="J397" s="33"/>
      <c r="K397" s="10"/>
      <c r="L397" s="33"/>
      <c r="M397" s="10"/>
    </row>
    <row r="398" spans="1:13" x14ac:dyDescent="0.25">
      <c r="A398" s="62">
        <v>38139</v>
      </c>
      <c r="B398" s="9"/>
      <c r="D398" s="9"/>
      <c r="E398" s="10"/>
      <c r="F398" s="33"/>
      <c r="G398" s="33"/>
      <c r="H398" s="12"/>
      <c r="I398" s="8"/>
      <c r="J398" s="33"/>
      <c r="K398" s="10"/>
      <c r="L398" s="33"/>
      <c r="M398" s="10"/>
    </row>
    <row r="399" spans="1:13" x14ac:dyDescent="0.25">
      <c r="A399" s="62">
        <v>38169</v>
      </c>
      <c r="B399" s="9"/>
      <c r="D399" s="9"/>
      <c r="E399" s="10"/>
      <c r="F399" s="33"/>
      <c r="G399" s="33"/>
      <c r="H399" s="12"/>
      <c r="I399" s="8"/>
      <c r="J399" s="33"/>
      <c r="K399" s="10"/>
      <c r="L399" s="33"/>
      <c r="M399" s="10"/>
    </row>
    <row r="400" spans="1:13" x14ac:dyDescent="0.25">
      <c r="A400" s="62">
        <v>38200</v>
      </c>
      <c r="B400" s="9"/>
      <c r="D400" s="9"/>
      <c r="E400" s="10"/>
      <c r="F400" s="33"/>
      <c r="G400" s="33"/>
      <c r="H400" s="12"/>
      <c r="I400" s="8"/>
      <c r="J400" s="33"/>
      <c r="K400" s="10"/>
      <c r="L400" s="33"/>
      <c r="M400" s="10"/>
    </row>
    <row r="401" spans="1:13" x14ac:dyDescent="0.25">
      <c r="A401" s="62">
        <v>38231</v>
      </c>
      <c r="B401" s="9"/>
      <c r="D401" s="9"/>
      <c r="E401" s="10"/>
      <c r="F401" s="33"/>
      <c r="G401" s="33"/>
      <c r="H401" s="12"/>
      <c r="I401" s="8"/>
      <c r="J401" s="33"/>
      <c r="K401" s="10"/>
      <c r="L401" s="33"/>
      <c r="M401" s="10"/>
    </row>
    <row r="402" spans="1:13" x14ac:dyDescent="0.25">
      <c r="A402" s="62">
        <v>38261</v>
      </c>
      <c r="B402" s="9"/>
      <c r="D402" s="9"/>
      <c r="E402" s="10"/>
      <c r="F402" s="33"/>
      <c r="G402" s="33"/>
      <c r="H402" s="12"/>
      <c r="I402" s="8"/>
      <c r="J402" s="33"/>
      <c r="K402" s="10"/>
      <c r="L402" s="33"/>
      <c r="M402" s="10"/>
    </row>
    <row r="403" spans="1:13" x14ac:dyDescent="0.25">
      <c r="A403" s="62">
        <v>38292</v>
      </c>
      <c r="B403" s="9"/>
      <c r="D403" s="9"/>
      <c r="E403" s="10"/>
      <c r="F403" s="33"/>
      <c r="G403" s="33"/>
      <c r="H403" s="12"/>
      <c r="I403" s="8"/>
      <c r="J403" s="33"/>
      <c r="K403" s="10"/>
      <c r="L403" s="33"/>
      <c r="M403" s="10"/>
    </row>
    <row r="404" spans="1:13" x14ac:dyDescent="0.25">
      <c r="A404" s="62">
        <v>38322</v>
      </c>
      <c r="B404" s="9"/>
      <c r="D404" s="9"/>
      <c r="E404" s="10"/>
      <c r="F404" s="33"/>
      <c r="G404" s="33"/>
      <c r="H404" s="12"/>
      <c r="I404" s="8"/>
      <c r="J404" s="33"/>
      <c r="K404" s="10"/>
      <c r="L404" s="33"/>
      <c r="M404" s="10"/>
    </row>
    <row r="405" spans="1:13" x14ac:dyDescent="0.25">
      <c r="A405" s="62">
        <v>38353</v>
      </c>
      <c r="B405" s="9"/>
      <c r="D405" s="9"/>
      <c r="E405" s="10"/>
      <c r="F405" s="33"/>
      <c r="G405" s="33"/>
      <c r="H405" s="12"/>
      <c r="I405" s="8"/>
      <c r="J405" s="33"/>
      <c r="K405" s="10"/>
      <c r="L405" s="33"/>
      <c r="M405" s="10"/>
    </row>
    <row r="406" spans="1:13" x14ac:dyDescent="0.25">
      <c r="A406" s="62">
        <v>38384</v>
      </c>
      <c r="B406" s="9"/>
      <c r="D406" s="9"/>
      <c r="E406" s="10"/>
      <c r="F406" s="33"/>
      <c r="G406" s="33"/>
      <c r="H406" s="12"/>
      <c r="I406" s="8"/>
      <c r="J406" s="33"/>
      <c r="K406" s="10"/>
      <c r="L406" s="33"/>
      <c r="M406" s="10"/>
    </row>
    <row r="407" spans="1:13" x14ac:dyDescent="0.25">
      <c r="A407" s="62">
        <v>38412</v>
      </c>
      <c r="B407" s="9"/>
      <c r="D407" s="9"/>
      <c r="E407" s="10"/>
      <c r="F407" s="33"/>
      <c r="G407" s="33"/>
      <c r="H407" s="12"/>
      <c r="I407" s="8"/>
      <c r="J407" s="33"/>
      <c r="K407" s="10"/>
      <c r="L407" s="33"/>
      <c r="M407" s="10"/>
    </row>
    <row r="408" spans="1:13" x14ac:dyDescent="0.25">
      <c r="A408" s="62">
        <v>38443</v>
      </c>
      <c r="B408" s="9"/>
      <c r="D408" s="9"/>
      <c r="E408" s="10"/>
      <c r="F408" s="33"/>
      <c r="G408" s="33"/>
      <c r="H408" s="12"/>
      <c r="I408" s="8"/>
      <c r="J408" s="33"/>
      <c r="K408" s="10"/>
      <c r="L408" s="33"/>
      <c r="M408" s="10"/>
    </row>
    <row r="409" spans="1:13" x14ac:dyDescent="0.25">
      <c r="A409" s="62">
        <v>38473</v>
      </c>
      <c r="B409" s="9"/>
      <c r="D409" s="9"/>
      <c r="E409" s="10"/>
      <c r="F409" s="33"/>
      <c r="G409" s="33"/>
      <c r="H409" s="12"/>
      <c r="I409" s="8"/>
      <c r="J409" s="33"/>
      <c r="K409" s="10"/>
      <c r="L409" s="33"/>
      <c r="M409" s="10"/>
    </row>
    <row r="410" spans="1:13" x14ac:dyDescent="0.25">
      <c r="A410" s="62">
        <v>38504</v>
      </c>
      <c r="B410" s="9"/>
      <c r="D410" s="9"/>
      <c r="E410" s="10"/>
      <c r="F410" s="33"/>
      <c r="G410" s="33"/>
      <c r="H410" s="12"/>
      <c r="I410" s="8"/>
      <c r="J410" s="33"/>
      <c r="K410" s="10"/>
      <c r="L410" s="33"/>
      <c r="M410" s="93">
        <v>883.33333333333326</v>
      </c>
    </row>
    <row r="411" spans="1:13" x14ac:dyDescent="0.25">
      <c r="A411" s="62">
        <v>38534</v>
      </c>
      <c r="D411" s="9"/>
      <c r="E411" s="10"/>
      <c r="F411" s="33"/>
      <c r="G411" s="33"/>
      <c r="H411" s="12"/>
      <c r="I411" s="8"/>
      <c r="J411" s="33"/>
      <c r="K411" s="10"/>
      <c r="L411" s="33"/>
      <c r="M411" s="10"/>
    </row>
    <row r="412" spans="1:13" x14ac:dyDescent="0.25">
      <c r="A412" s="62">
        <v>38565</v>
      </c>
      <c r="B412" s="9"/>
      <c r="D412" s="9"/>
      <c r="E412" s="10"/>
      <c r="F412" s="33"/>
      <c r="G412" s="33"/>
      <c r="H412" s="12"/>
      <c r="I412" s="8"/>
      <c r="J412" s="33"/>
      <c r="K412" s="10"/>
      <c r="L412" s="33"/>
      <c r="M412" s="10"/>
    </row>
    <row r="413" spans="1:13" x14ac:dyDescent="0.25">
      <c r="A413" s="62">
        <v>38596</v>
      </c>
      <c r="B413" s="9"/>
      <c r="D413" s="9"/>
      <c r="E413" s="10"/>
      <c r="F413" s="33"/>
      <c r="G413" s="33"/>
      <c r="H413" s="12"/>
      <c r="I413" s="8"/>
      <c r="J413" s="33"/>
      <c r="K413" s="10"/>
      <c r="L413" s="33"/>
      <c r="M413" s="10"/>
    </row>
    <row r="414" spans="1:13" x14ac:dyDescent="0.25">
      <c r="A414" s="62">
        <v>38626</v>
      </c>
      <c r="B414" s="9"/>
      <c r="D414" s="9"/>
      <c r="E414" s="10"/>
      <c r="F414" s="33"/>
      <c r="G414" s="33"/>
      <c r="H414" s="12"/>
      <c r="I414" s="8"/>
      <c r="J414" s="33"/>
      <c r="K414" s="10"/>
      <c r="L414" s="33"/>
      <c r="M414" s="10"/>
    </row>
    <row r="415" spans="1:13" x14ac:dyDescent="0.25">
      <c r="A415" s="62">
        <v>38657</v>
      </c>
      <c r="B415" s="9"/>
      <c r="D415" s="9"/>
      <c r="E415" s="10"/>
      <c r="F415" s="33"/>
      <c r="G415" s="33"/>
      <c r="H415" s="12"/>
      <c r="I415" s="8"/>
      <c r="J415" s="33"/>
      <c r="K415" s="10"/>
      <c r="L415" s="33"/>
      <c r="M415" s="10"/>
    </row>
    <row r="416" spans="1:13" x14ac:dyDescent="0.25">
      <c r="A416" s="62">
        <v>38687</v>
      </c>
      <c r="B416" s="9"/>
      <c r="D416" s="9"/>
      <c r="E416" s="10"/>
      <c r="F416" s="33"/>
      <c r="G416" s="33"/>
      <c r="H416" s="12"/>
      <c r="I416" s="8"/>
      <c r="J416" s="33"/>
      <c r="K416" s="10"/>
      <c r="L416" s="33"/>
      <c r="M416" s="10"/>
    </row>
    <row r="417" spans="1:13" x14ac:dyDescent="0.25">
      <c r="A417" s="62">
        <v>38718</v>
      </c>
      <c r="B417" s="9"/>
      <c r="D417" s="9"/>
      <c r="E417" s="10"/>
      <c r="F417" s="33"/>
      <c r="G417" s="33"/>
      <c r="H417" s="12"/>
      <c r="I417" s="8"/>
      <c r="J417" s="33"/>
      <c r="K417" s="10"/>
      <c r="L417" s="33"/>
      <c r="M417" s="10"/>
    </row>
    <row r="418" spans="1:13" x14ac:dyDescent="0.25">
      <c r="A418" s="62">
        <v>38749</v>
      </c>
      <c r="B418" s="9"/>
      <c r="D418" s="9"/>
      <c r="E418" s="10"/>
      <c r="F418" s="33"/>
      <c r="G418" s="33"/>
      <c r="H418" s="12"/>
      <c r="I418" s="8"/>
      <c r="J418" s="33"/>
      <c r="K418" s="10"/>
      <c r="L418" s="33"/>
      <c r="M418" s="10"/>
    </row>
    <row r="419" spans="1:13" x14ac:dyDescent="0.25">
      <c r="A419" s="62">
        <v>38777</v>
      </c>
      <c r="B419" s="9"/>
      <c r="D419" s="9"/>
      <c r="E419" s="10"/>
      <c r="F419" s="33"/>
      <c r="G419" s="33"/>
      <c r="H419" s="12"/>
      <c r="I419" s="8"/>
      <c r="J419" s="33"/>
      <c r="K419" s="10"/>
      <c r="L419" s="33"/>
      <c r="M419" s="10"/>
    </row>
    <row r="420" spans="1:13" x14ac:dyDescent="0.25">
      <c r="A420" s="62">
        <v>38808</v>
      </c>
      <c r="B420" s="9"/>
      <c r="D420" s="9"/>
      <c r="E420" s="10"/>
      <c r="F420" s="33"/>
      <c r="G420" s="33"/>
      <c r="H420" s="12"/>
      <c r="I420" s="8"/>
      <c r="J420" s="33"/>
      <c r="K420" s="10"/>
      <c r="L420" s="33"/>
      <c r="M420" s="10"/>
    </row>
    <row r="421" spans="1:13" x14ac:dyDescent="0.25">
      <c r="A421" s="62">
        <v>38838</v>
      </c>
      <c r="B421" s="9"/>
      <c r="D421" s="9"/>
      <c r="E421" s="10"/>
      <c r="F421" s="33"/>
      <c r="G421" s="33"/>
      <c r="H421" s="12"/>
      <c r="I421" s="8"/>
      <c r="J421" s="33"/>
      <c r="K421" s="10"/>
      <c r="L421" s="33"/>
      <c r="M421" s="10"/>
    </row>
    <row r="422" spans="1:13" x14ac:dyDescent="0.25">
      <c r="A422" s="62">
        <v>38869</v>
      </c>
      <c r="B422" s="9"/>
      <c r="D422" s="9"/>
      <c r="E422" s="10"/>
      <c r="F422" s="33"/>
      <c r="G422" s="33"/>
      <c r="H422" s="12"/>
      <c r="I422" s="8"/>
      <c r="J422" s="33"/>
      <c r="K422" s="10"/>
      <c r="L422" s="33"/>
      <c r="M422" s="10"/>
    </row>
    <row r="423" spans="1:13" x14ac:dyDescent="0.25">
      <c r="A423" s="62">
        <v>38899</v>
      </c>
      <c r="B423" s="9"/>
      <c r="D423" s="9"/>
      <c r="E423" s="10"/>
      <c r="F423" s="33"/>
      <c r="G423" s="33"/>
      <c r="H423" s="12"/>
      <c r="I423" s="8"/>
      <c r="J423" s="33"/>
      <c r="K423" s="10"/>
      <c r="L423" s="33"/>
      <c r="M423" s="10"/>
    </row>
    <row r="424" spans="1:13" x14ac:dyDescent="0.25">
      <c r="A424" s="62">
        <v>38930</v>
      </c>
      <c r="B424" s="9"/>
      <c r="D424" s="9"/>
      <c r="E424" s="10"/>
      <c r="F424" s="33"/>
      <c r="G424" s="33"/>
      <c r="H424" s="12"/>
      <c r="I424" s="8"/>
      <c r="J424" s="33"/>
      <c r="K424" s="10"/>
      <c r="L424" s="33"/>
      <c r="M424" s="10"/>
    </row>
    <row r="425" spans="1:13" x14ac:dyDescent="0.25">
      <c r="A425" s="62">
        <v>38961</v>
      </c>
      <c r="B425" s="9"/>
      <c r="D425" s="9"/>
      <c r="E425" s="10"/>
      <c r="F425" s="33"/>
      <c r="G425" s="33"/>
      <c r="H425" s="12"/>
      <c r="I425" s="8"/>
      <c r="J425" s="33"/>
      <c r="K425" s="10"/>
      <c r="L425" s="33"/>
      <c r="M425" s="10"/>
    </row>
    <row r="426" spans="1:13" x14ac:dyDescent="0.25">
      <c r="A426" s="62">
        <v>38991</v>
      </c>
      <c r="B426" s="9"/>
      <c r="D426" s="9"/>
      <c r="E426" s="10"/>
      <c r="F426" s="33"/>
      <c r="G426" s="33"/>
      <c r="H426" s="12"/>
      <c r="I426" s="8"/>
      <c r="J426" s="33"/>
      <c r="K426" s="10"/>
      <c r="L426" s="33"/>
      <c r="M426" s="10"/>
    </row>
    <row r="427" spans="1:13" x14ac:dyDescent="0.25">
      <c r="A427" s="62">
        <v>39022</v>
      </c>
      <c r="B427" s="9"/>
      <c r="D427" s="9"/>
      <c r="E427" s="10"/>
      <c r="F427" s="33"/>
      <c r="G427" s="33"/>
      <c r="H427" s="12"/>
      <c r="I427" s="8"/>
      <c r="J427" s="33"/>
      <c r="K427" s="10"/>
      <c r="L427" s="33"/>
      <c r="M427" s="10"/>
    </row>
    <row r="428" spans="1:13" x14ac:dyDescent="0.25">
      <c r="A428" s="62">
        <v>39052</v>
      </c>
      <c r="B428" s="9"/>
      <c r="D428" s="9"/>
      <c r="E428" s="10"/>
      <c r="F428" s="33"/>
      <c r="G428" s="33"/>
      <c r="H428" s="12"/>
      <c r="I428" s="8"/>
      <c r="J428" s="33"/>
      <c r="K428" s="10"/>
      <c r="L428" s="33"/>
      <c r="M428" s="10"/>
    </row>
    <row r="429" spans="1:13" x14ac:dyDescent="0.25">
      <c r="A429" s="62">
        <v>39083</v>
      </c>
      <c r="B429" s="9"/>
      <c r="D429" s="9"/>
      <c r="E429" s="10"/>
      <c r="F429" s="33"/>
      <c r="G429" s="33"/>
      <c r="H429" s="12"/>
      <c r="I429" s="8"/>
      <c r="J429" s="33"/>
      <c r="K429" s="10"/>
      <c r="L429" s="33"/>
      <c r="M429" s="10"/>
    </row>
    <row r="430" spans="1:13" x14ac:dyDescent="0.25">
      <c r="A430" s="62">
        <v>39114</v>
      </c>
      <c r="B430" s="9"/>
      <c r="D430" s="9"/>
      <c r="E430" s="10"/>
      <c r="F430" s="33"/>
      <c r="G430" s="33"/>
      <c r="H430" s="12"/>
      <c r="I430" s="8"/>
      <c r="J430" s="33"/>
      <c r="K430" s="10"/>
      <c r="L430" s="33"/>
      <c r="M430" s="10"/>
    </row>
    <row r="431" spans="1:13" x14ac:dyDescent="0.25">
      <c r="A431" s="62">
        <v>39142</v>
      </c>
      <c r="B431" s="9"/>
      <c r="D431" s="9"/>
      <c r="E431" s="10"/>
      <c r="F431" s="33"/>
      <c r="G431" s="33"/>
      <c r="H431" s="12"/>
      <c r="I431" s="8"/>
      <c r="J431" s="33"/>
      <c r="K431" s="10"/>
      <c r="L431" s="33"/>
      <c r="M431" s="10"/>
    </row>
    <row r="432" spans="1:13" x14ac:dyDescent="0.25">
      <c r="A432" s="62">
        <v>39173</v>
      </c>
      <c r="B432" s="9"/>
      <c r="D432" s="9"/>
      <c r="E432" s="10"/>
      <c r="F432" s="33"/>
      <c r="G432" s="33"/>
      <c r="H432" s="12"/>
      <c r="I432" s="8"/>
      <c r="J432" s="33"/>
      <c r="K432" s="10"/>
      <c r="L432" s="33"/>
      <c r="M432" s="10"/>
    </row>
    <row r="433" spans="1:13" x14ac:dyDescent="0.25">
      <c r="A433" s="62">
        <v>39203</v>
      </c>
      <c r="B433" s="9"/>
      <c r="D433" s="9"/>
      <c r="E433" s="10"/>
      <c r="F433" s="33"/>
      <c r="G433" s="33"/>
      <c r="H433" s="12"/>
      <c r="I433" s="8"/>
      <c r="J433" s="33"/>
      <c r="K433" s="10"/>
      <c r="L433" s="33"/>
      <c r="M433" s="10"/>
    </row>
    <row r="434" spans="1:13" x14ac:dyDescent="0.25">
      <c r="A434" s="62">
        <v>39234</v>
      </c>
      <c r="B434" s="9"/>
      <c r="D434" s="9"/>
      <c r="E434" s="10"/>
      <c r="F434" s="33"/>
      <c r="G434" s="33"/>
      <c r="H434" s="12"/>
      <c r="I434" s="8"/>
      <c r="J434" s="33"/>
      <c r="K434" s="10"/>
      <c r="L434" s="33"/>
      <c r="M434" s="10"/>
    </row>
    <row r="435" spans="1:13" x14ac:dyDescent="0.25">
      <c r="A435" s="62">
        <v>39264</v>
      </c>
      <c r="B435" s="9"/>
      <c r="D435" s="9"/>
      <c r="E435" s="10"/>
      <c r="F435" s="33"/>
      <c r="G435" s="33"/>
      <c r="H435" s="12"/>
      <c r="I435" s="8"/>
      <c r="J435" s="33"/>
      <c r="K435" s="10"/>
      <c r="L435" s="33"/>
      <c r="M435" s="10"/>
    </row>
    <row r="436" spans="1:13" x14ac:dyDescent="0.25">
      <c r="A436" s="62">
        <v>39295</v>
      </c>
      <c r="B436" s="9"/>
      <c r="D436" s="9"/>
      <c r="E436" s="10"/>
      <c r="F436" s="33"/>
      <c r="G436" s="33"/>
      <c r="H436" s="12"/>
      <c r="I436" s="8"/>
      <c r="J436" s="33"/>
      <c r="K436" s="10"/>
      <c r="L436" s="33"/>
      <c r="M436" s="10"/>
    </row>
    <row r="437" spans="1:13" x14ac:dyDescent="0.25">
      <c r="A437" s="62">
        <v>39326</v>
      </c>
      <c r="B437" s="9"/>
      <c r="D437" s="9"/>
      <c r="E437" s="10"/>
      <c r="F437" s="33"/>
      <c r="G437" s="33"/>
      <c r="H437" s="12"/>
      <c r="I437" s="8"/>
      <c r="J437" s="33"/>
      <c r="K437" s="10"/>
      <c r="L437" s="33"/>
      <c r="M437" s="10"/>
    </row>
    <row r="438" spans="1:13" x14ac:dyDescent="0.25">
      <c r="A438" s="62">
        <v>39356</v>
      </c>
      <c r="B438" s="9"/>
      <c r="D438" s="9"/>
      <c r="E438" s="10"/>
      <c r="F438" s="33"/>
      <c r="G438" s="33"/>
      <c r="H438" s="12"/>
      <c r="I438" s="8"/>
      <c r="J438" s="33"/>
      <c r="K438" s="10"/>
      <c r="L438" s="33"/>
      <c r="M438" s="10"/>
    </row>
    <row r="439" spans="1:13" x14ac:dyDescent="0.25">
      <c r="A439" s="62">
        <v>39387</v>
      </c>
      <c r="B439" s="9"/>
      <c r="D439" s="9"/>
      <c r="E439" s="10"/>
      <c r="F439" s="33"/>
      <c r="G439" s="33"/>
      <c r="H439" s="12"/>
      <c r="I439" s="8"/>
      <c r="J439" s="33"/>
      <c r="K439" s="10"/>
      <c r="L439" s="33"/>
      <c r="M439" s="10"/>
    </row>
    <row r="440" spans="1:13" x14ac:dyDescent="0.25">
      <c r="A440" s="62">
        <v>39417</v>
      </c>
      <c r="B440" s="9"/>
      <c r="D440" s="9"/>
      <c r="E440" s="10"/>
      <c r="F440" s="33"/>
      <c r="G440" s="33"/>
      <c r="H440" s="12"/>
      <c r="I440" s="8"/>
      <c r="J440" s="33"/>
      <c r="K440" s="10"/>
      <c r="L440" s="33"/>
      <c r="M440" s="10"/>
    </row>
    <row r="441" spans="1:13" x14ac:dyDescent="0.25">
      <c r="A441" s="62">
        <v>39448</v>
      </c>
      <c r="B441" s="9"/>
      <c r="D441" s="9"/>
      <c r="E441" s="10"/>
      <c r="F441" s="33"/>
      <c r="G441" s="33"/>
      <c r="H441" s="12"/>
      <c r="I441" s="8"/>
      <c r="J441" s="33"/>
      <c r="K441" s="10"/>
      <c r="L441" s="33"/>
      <c r="M441" s="10"/>
    </row>
    <row r="442" spans="1:13" x14ac:dyDescent="0.25">
      <c r="A442" s="62">
        <v>39479</v>
      </c>
      <c r="B442" s="9"/>
      <c r="D442" s="9"/>
      <c r="E442" s="10"/>
      <c r="F442" s="33"/>
      <c r="G442" s="33"/>
      <c r="H442" s="12"/>
      <c r="I442" s="8"/>
      <c r="J442" s="33"/>
      <c r="K442" s="10"/>
      <c r="L442" s="33"/>
      <c r="M442" s="10"/>
    </row>
    <row r="443" spans="1:13" x14ac:dyDescent="0.25">
      <c r="A443" s="62">
        <v>39508</v>
      </c>
      <c r="B443" s="9"/>
      <c r="D443" s="9"/>
      <c r="E443" s="10"/>
      <c r="F443" s="33"/>
      <c r="G443" s="33"/>
      <c r="H443" s="12"/>
      <c r="I443" s="8"/>
      <c r="J443" s="33"/>
      <c r="K443" s="10"/>
      <c r="L443" s="33"/>
      <c r="M443" s="10"/>
    </row>
    <row r="444" spans="1:13" x14ac:dyDescent="0.25">
      <c r="A444" s="62">
        <v>39539</v>
      </c>
      <c r="B444" s="9"/>
      <c r="D444" s="9"/>
      <c r="E444" s="10"/>
      <c r="F444" s="33"/>
      <c r="G444" s="33"/>
      <c r="H444" s="12"/>
      <c r="I444" s="8"/>
      <c r="J444" s="33"/>
      <c r="K444" s="10"/>
      <c r="L444" s="33"/>
      <c r="M444" s="10"/>
    </row>
    <row r="445" spans="1:13" x14ac:dyDescent="0.25">
      <c r="A445" s="62">
        <v>39569</v>
      </c>
      <c r="B445" s="9"/>
      <c r="D445" s="9"/>
      <c r="E445" s="10"/>
      <c r="F445" s="33"/>
      <c r="G445" s="33"/>
      <c r="H445" s="12"/>
      <c r="I445" s="8"/>
      <c r="J445" s="33"/>
      <c r="K445" s="10"/>
      <c r="L445" s="33"/>
      <c r="M445" s="10"/>
    </row>
    <row r="446" spans="1:13" x14ac:dyDescent="0.25">
      <c r="A446" s="62">
        <v>39600</v>
      </c>
      <c r="B446" s="9"/>
      <c r="D446" s="9"/>
      <c r="E446" s="10"/>
      <c r="F446" s="33"/>
      <c r="G446" s="33"/>
      <c r="H446" s="12"/>
      <c r="I446" s="8"/>
      <c r="J446" s="33"/>
      <c r="K446" s="10"/>
      <c r="L446" s="33"/>
      <c r="M446" s="10"/>
    </row>
    <row r="447" spans="1:13" x14ac:dyDescent="0.25">
      <c r="A447" s="62">
        <v>39630</v>
      </c>
      <c r="B447" s="9"/>
      <c r="D447" s="9"/>
      <c r="E447" s="10"/>
      <c r="F447" s="33"/>
      <c r="G447" s="33"/>
      <c r="H447" s="12"/>
      <c r="I447" s="8"/>
      <c r="J447" s="33"/>
      <c r="K447" s="10"/>
      <c r="L447" s="33"/>
      <c r="M447" s="10"/>
    </row>
    <row r="448" spans="1:13" x14ac:dyDescent="0.25">
      <c r="A448" s="62">
        <v>39661</v>
      </c>
      <c r="B448" s="9"/>
      <c r="D448" s="9"/>
      <c r="E448" s="10"/>
      <c r="F448" s="33"/>
      <c r="G448" s="33"/>
      <c r="H448" s="12"/>
      <c r="I448" s="8"/>
      <c r="J448" s="33"/>
      <c r="K448" s="10"/>
      <c r="L448" s="33"/>
      <c r="M448" s="10"/>
    </row>
    <row r="449" spans="1:13" x14ac:dyDescent="0.25">
      <c r="A449" s="62">
        <v>39692</v>
      </c>
      <c r="B449" s="9"/>
      <c r="D449" s="9"/>
      <c r="E449" s="10"/>
      <c r="F449" s="33"/>
      <c r="G449" s="33"/>
      <c r="H449" s="12"/>
      <c r="I449" s="8"/>
      <c r="J449" s="33"/>
      <c r="K449" s="10"/>
      <c r="L449" s="33"/>
      <c r="M449" s="10"/>
    </row>
    <row r="450" spans="1:13" x14ac:dyDescent="0.25">
      <c r="A450" s="62">
        <v>39722</v>
      </c>
      <c r="B450" s="9"/>
      <c r="D450" s="9"/>
      <c r="E450" s="10"/>
      <c r="F450" s="33"/>
      <c r="G450" s="33"/>
      <c r="H450" s="12"/>
      <c r="I450" s="8"/>
      <c r="J450" s="33"/>
      <c r="K450" s="10"/>
      <c r="L450" s="33"/>
      <c r="M450" s="10"/>
    </row>
    <row r="451" spans="1:13" x14ac:dyDescent="0.25">
      <c r="A451" s="62">
        <v>39753</v>
      </c>
      <c r="B451" s="9"/>
      <c r="D451" s="9"/>
      <c r="E451" s="10"/>
      <c r="F451" s="33"/>
      <c r="G451" s="33"/>
      <c r="H451" s="12"/>
      <c r="I451" s="8"/>
      <c r="J451" s="33"/>
      <c r="K451" s="10"/>
      <c r="L451" s="33"/>
      <c r="M451" s="10"/>
    </row>
    <row r="452" spans="1:13" x14ac:dyDescent="0.25">
      <c r="A452" s="62">
        <v>39783</v>
      </c>
      <c r="B452" s="9"/>
      <c r="D452" s="9"/>
      <c r="E452" s="10"/>
      <c r="F452" s="33"/>
      <c r="G452" s="33"/>
      <c r="H452" s="12"/>
      <c r="I452" s="8"/>
      <c r="J452" s="33"/>
      <c r="K452" s="10"/>
      <c r="L452" s="33"/>
      <c r="M452" s="10"/>
    </row>
    <row r="453" spans="1:13" x14ac:dyDescent="0.25">
      <c r="A453" s="62">
        <v>39814</v>
      </c>
      <c r="B453" s="9"/>
      <c r="D453" s="9"/>
      <c r="E453" s="10"/>
      <c r="F453" s="33"/>
      <c r="G453" s="33"/>
      <c r="H453" s="12"/>
      <c r="I453" s="8"/>
      <c r="J453" s="33"/>
      <c r="K453" s="10"/>
      <c r="L453" s="33"/>
      <c r="M453" s="10"/>
    </row>
    <row r="454" spans="1:13" x14ac:dyDescent="0.25">
      <c r="A454" s="62">
        <v>39845</v>
      </c>
      <c r="B454" s="9"/>
      <c r="D454" s="9"/>
      <c r="E454" s="10"/>
      <c r="F454" s="33"/>
      <c r="G454" s="33"/>
      <c r="H454" s="12"/>
      <c r="I454" s="8"/>
      <c r="J454" s="33"/>
      <c r="K454" s="10"/>
      <c r="L454" s="33"/>
      <c r="M454" s="10"/>
    </row>
    <row r="455" spans="1:13" x14ac:dyDescent="0.25">
      <c r="A455" s="62">
        <v>39873</v>
      </c>
      <c r="B455" s="9"/>
      <c r="D455" s="9"/>
      <c r="E455" s="10"/>
      <c r="F455" s="33"/>
      <c r="G455" s="33"/>
      <c r="H455" s="12"/>
      <c r="I455" s="8"/>
      <c r="J455" s="33"/>
      <c r="K455" s="10"/>
      <c r="L455" s="33"/>
      <c r="M455" s="10"/>
    </row>
    <row r="456" spans="1:13" x14ac:dyDescent="0.25">
      <c r="A456" s="62">
        <v>39904</v>
      </c>
      <c r="B456" s="9"/>
      <c r="D456" s="9"/>
      <c r="E456" s="10"/>
      <c r="F456" s="33"/>
      <c r="G456" s="33"/>
      <c r="H456" s="12"/>
      <c r="I456" s="8"/>
      <c r="J456" s="33"/>
      <c r="K456" s="10"/>
      <c r="L456" s="33"/>
      <c r="M456" s="10"/>
    </row>
    <row r="457" spans="1:13" x14ac:dyDescent="0.25">
      <c r="A457" s="62">
        <v>39934</v>
      </c>
      <c r="B457" s="9"/>
      <c r="D457" s="9"/>
      <c r="E457" s="10"/>
      <c r="F457" s="33"/>
      <c r="G457" s="33"/>
      <c r="H457" s="12"/>
      <c r="I457" s="8"/>
      <c r="J457" s="33"/>
      <c r="K457" s="10"/>
      <c r="L457" s="33"/>
      <c r="M457" s="10"/>
    </row>
    <row r="458" spans="1:13" x14ac:dyDescent="0.25">
      <c r="A458" s="62">
        <v>39965</v>
      </c>
      <c r="B458" s="9"/>
      <c r="D458" s="9"/>
      <c r="E458" s="10"/>
      <c r="F458" s="33"/>
      <c r="G458" s="33"/>
      <c r="H458" s="12"/>
      <c r="I458" s="8"/>
      <c r="J458" s="33"/>
      <c r="K458" s="10"/>
      <c r="L458" s="33"/>
      <c r="M458" s="10"/>
    </row>
    <row r="459" spans="1:13" x14ac:dyDescent="0.25">
      <c r="A459" s="62">
        <v>39995</v>
      </c>
      <c r="B459" s="9"/>
      <c r="D459" s="9"/>
      <c r="E459" s="10"/>
      <c r="F459" s="33"/>
      <c r="G459" s="33"/>
      <c r="H459" s="12"/>
      <c r="I459" s="8"/>
      <c r="J459" s="33"/>
      <c r="K459" s="10"/>
      <c r="L459" s="33"/>
      <c r="M459" s="10"/>
    </row>
    <row r="460" spans="1:13" x14ac:dyDescent="0.25">
      <c r="A460" s="62">
        <v>40026</v>
      </c>
      <c r="B460" s="9"/>
      <c r="D460" s="9"/>
      <c r="E460" s="10"/>
      <c r="F460" s="33"/>
      <c r="G460" s="33"/>
      <c r="H460" s="12"/>
      <c r="I460" s="8"/>
      <c r="J460" s="33"/>
      <c r="K460" s="10"/>
      <c r="L460" s="33"/>
      <c r="M460" s="10"/>
    </row>
    <row r="461" spans="1:13" x14ac:dyDescent="0.25">
      <c r="A461" s="62">
        <v>40057</v>
      </c>
      <c r="B461" s="9"/>
      <c r="D461" s="9"/>
      <c r="E461" s="10"/>
      <c r="F461" s="33"/>
      <c r="G461" s="33"/>
      <c r="H461" s="12"/>
      <c r="I461" s="8"/>
      <c r="J461" s="33"/>
      <c r="K461" s="10"/>
      <c r="L461" s="33"/>
      <c r="M461" s="10"/>
    </row>
    <row r="462" spans="1:13" x14ac:dyDescent="0.25">
      <c r="A462" s="62">
        <v>40087</v>
      </c>
      <c r="B462" s="9"/>
      <c r="D462" s="9"/>
      <c r="E462" s="10"/>
      <c r="F462" s="33"/>
      <c r="G462" s="33"/>
      <c r="H462" s="12"/>
      <c r="I462" s="8"/>
      <c r="J462" s="33"/>
      <c r="K462" s="10"/>
      <c r="L462" s="33"/>
      <c r="M462" s="10"/>
    </row>
    <row r="463" spans="1:13" x14ac:dyDescent="0.25">
      <c r="A463" s="62">
        <v>40118</v>
      </c>
      <c r="B463" s="9"/>
      <c r="D463" s="9"/>
      <c r="E463" s="10"/>
      <c r="F463" s="33"/>
      <c r="G463" s="33"/>
      <c r="H463" s="12"/>
      <c r="I463" s="8"/>
      <c r="J463" s="33"/>
      <c r="K463" s="10"/>
      <c r="L463" s="33"/>
      <c r="M463" s="10"/>
    </row>
    <row r="464" spans="1:13" x14ac:dyDescent="0.25">
      <c r="A464" s="62">
        <v>40148</v>
      </c>
      <c r="B464" s="9"/>
      <c r="D464" s="9"/>
      <c r="E464" s="10"/>
      <c r="F464" s="33"/>
      <c r="G464" s="33"/>
      <c r="H464" s="12"/>
      <c r="I464" s="8"/>
      <c r="J464" s="33"/>
      <c r="K464" s="10"/>
      <c r="L464" s="33"/>
      <c r="M464" s="10"/>
    </row>
    <row r="465" spans="1:13" x14ac:dyDescent="0.25">
      <c r="A465" s="62">
        <v>40179</v>
      </c>
      <c r="B465" s="9"/>
      <c r="D465" s="9"/>
      <c r="E465" s="10"/>
      <c r="F465" s="33"/>
      <c r="G465" s="33"/>
      <c r="H465" s="12"/>
      <c r="I465" s="8"/>
      <c r="J465" s="33"/>
      <c r="K465" s="10"/>
      <c r="L465" s="33"/>
      <c r="M465" s="10"/>
    </row>
    <row r="466" spans="1:13" x14ac:dyDescent="0.25">
      <c r="A466" s="62">
        <v>40210</v>
      </c>
      <c r="B466" s="9"/>
      <c r="D466" s="9"/>
      <c r="E466" s="10"/>
      <c r="F466" s="33"/>
      <c r="G466" s="33"/>
      <c r="H466" s="12"/>
      <c r="I466" s="8"/>
      <c r="J466" s="33"/>
      <c r="K466" s="10"/>
      <c r="L466" s="33"/>
      <c r="M466" s="10"/>
    </row>
    <row r="467" spans="1:13" x14ac:dyDescent="0.25">
      <c r="A467" s="62">
        <v>40238</v>
      </c>
      <c r="B467" s="9"/>
      <c r="D467" s="9"/>
      <c r="E467" s="10"/>
      <c r="F467" s="33"/>
      <c r="G467" s="33"/>
      <c r="H467" s="12"/>
      <c r="I467" s="8"/>
      <c r="J467" s="33"/>
      <c r="K467" s="10"/>
      <c r="L467" s="33"/>
      <c r="M467" s="10"/>
    </row>
    <row r="468" spans="1:13" x14ac:dyDescent="0.25">
      <c r="A468" s="62">
        <v>40269</v>
      </c>
      <c r="B468" s="9"/>
      <c r="D468" s="9"/>
      <c r="E468" s="10"/>
      <c r="F468" s="33"/>
      <c r="G468" s="33"/>
      <c r="H468" s="12"/>
      <c r="I468" s="8"/>
      <c r="J468" s="33"/>
      <c r="K468" s="10"/>
      <c r="L468" s="33"/>
      <c r="M468" s="10"/>
    </row>
    <row r="469" spans="1:13" x14ac:dyDescent="0.25">
      <c r="A469" s="62">
        <v>40299</v>
      </c>
      <c r="B469" s="9"/>
      <c r="D469" s="9"/>
      <c r="E469" s="10"/>
      <c r="F469" s="33"/>
      <c r="G469" s="33"/>
      <c r="H469" s="12"/>
      <c r="I469" s="8"/>
      <c r="J469" s="33"/>
      <c r="K469" s="10"/>
      <c r="L469" s="33"/>
      <c r="M469" s="10"/>
    </row>
    <row r="470" spans="1:13" x14ac:dyDescent="0.25">
      <c r="A470" s="62">
        <v>40330</v>
      </c>
      <c r="B470" s="9"/>
      <c r="D470" s="9"/>
      <c r="E470" s="10"/>
      <c r="F470" s="33"/>
      <c r="G470" s="33"/>
      <c r="H470" s="12"/>
      <c r="I470" s="8"/>
      <c r="J470" s="33"/>
      <c r="K470" s="10"/>
      <c r="L470" s="33"/>
      <c r="M470" s="10"/>
    </row>
    <row r="471" spans="1:13" x14ac:dyDescent="0.25">
      <c r="A471" s="62">
        <v>40360</v>
      </c>
      <c r="B471" s="9"/>
      <c r="D471" s="9"/>
      <c r="E471" s="10"/>
      <c r="F471" s="33"/>
      <c r="G471" s="33"/>
      <c r="H471" s="12"/>
      <c r="I471" s="8"/>
      <c r="J471" s="33"/>
      <c r="K471" s="10"/>
      <c r="L471" s="33"/>
      <c r="M471" s="10"/>
    </row>
    <row r="472" spans="1:13" x14ac:dyDescent="0.25">
      <c r="A472" s="62">
        <v>40391</v>
      </c>
      <c r="B472" s="9"/>
      <c r="D472" s="9"/>
      <c r="E472" s="10"/>
      <c r="F472" s="33"/>
      <c r="G472" s="33"/>
      <c r="H472" s="12"/>
      <c r="I472" s="8"/>
      <c r="J472" s="33"/>
      <c r="K472" s="10"/>
      <c r="L472" s="33"/>
      <c r="M472" s="10"/>
    </row>
    <row r="473" spans="1:13" x14ac:dyDescent="0.25">
      <c r="A473" s="62">
        <v>40422</v>
      </c>
      <c r="B473" s="9"/>
      <c r="D473" s="9"/>
      <c r="E473" s="10"/>
      <c r="F473" s="33"/>
      <c r="G473" s="33"/>
      <c r="H473" s="12"/>
      <c r="I473" s="8"/>
      <c r="J473" s="33"/>
      <c r="K473" s="10"/>
      <c r="L473" s="33"/>
      <c r="M473" s="10"/>
    </row>
    <row r="474" spans="1:13" x14ac:dyDescent="0.25">
      <c r="A474" s="62">
        <v>40452</v>
      </c>
      <c r="B474" s="9"/>
      <c r="D474" s="9"/>
      <c r="E474" s="10"/>
      <c r="F474" s="33"/>
      <c r="G474" s="33"/>
      <c r="H474" s="12"/>
      <c r="I474" s="8"/>
      <c r="J474" s="33"/>
      <c r="K474" s="10"/>
      <c r="L474" s="33"/>
      <c r="M474" s="10"/>
    </row>
    <row r="475" spans="1:13" x14ac:dyDescent="0.25">
      <c r="A475" s="62">
        <v>40483</v>
      </c>
      <c r="B475" s="9"/>
      <c r="D475" s="9"/>
      <c r="E475" s="10"/>
      <c r="F475" s="33"/>
      <c r="G475" s="33"/>
      <c r="H475" s="12"/>
      <c r="I475" s="8"/>
      <c r="J475" s="33"/>
      <c r="K475" s="10"/>
      <c r="L475" s="33"/>
      <c r="M475" s="10"/>
    </row>
    <row r="476" spans="1:13" x14ac:dyDescent="0.25">
      <c r="A476" s="62">
        <v>40513</v>
      </c>
      <c r="B476" s="9"/>
      <c r="D476" s="9"/>
      <c r="E476" s="10"/>
      <c r="F476" s="33"/>
      <c r="G476" s="33"/>
      <c r="H476" s="12"/>
      <c r="I476" s="8"/>
      <c r="J476" s="33"/>
      <c r="K476" s="10"/>
      <c r="L476" s="33"/>
      <c r="M476" s="10"/>
    </row>
    <row r="477" spans="1:13" x14ac:dyDescent="0.25">
      <c r="A477" s="62">
        <v>40544</v>
      </c>
      <c r="B477" s="9"/>
      <c r="C477" s="63"/>
      <c r="D477" s="9"/>
      <c r="E477" s="63"/>
      <c r="F477" s="33"/>
      <c r="G477" s="63"/>
      <c r="H477" s="8"/>
      <c r="I477" s="63"/>
      <c r="J477" s="33"/>
      <c r="K477" s="63"/>
      <c r="L477" s="33"/>
      <c r="M477" s="63"/>
    </row>
    <row r="478" spans="1:13" x14ac:dyDescent="0.25">
      <c r="A478" s="62">
        <v>40575</v>
      </c>
      <c r="B478" s="9"/>
      <c r="C478" s="63"/>
      <c r="D478" s="9"/>
      <c r="E478" s="63"/>
      <c r="F478" s="33"/>
      <c r="G478" s="63"/>
      <c r="H478" s="12"/>
      <c r="I478" s="63"/>
      <c r="J478" s="33"/>
      <c r="K478" s="63"/>
      <c r="L478" s="33"/>
      <c r="M478" s="63"/>
    </row>
    <row r="479" spans="1:13" x14ac:dyDescent="0.25">
      <c r="A479" s="62">
        <v>40603</v>
      </c>
      <c r="B479" s="9"/>
      <c r="C479" s="63"/>
      <c r="D479" s="9"/>
      <c r="E479" s="63"/>
      <c r="F479" s="33"/>
      <c r="G479" s="63"/>
      <c r="H479" s="8"/>
      <c r="I479" s="63"/>
      <c r="J479" s="33"/>
      <c r="K479" s="63"/>
      <c r="L479" s="33"/>
      <c r="M479" s="63"/>
    </row>
    <row r="480" spans="1:13" x14ac:dyDescent="0.25">
      <c r="A480" s="62">
        <v>40634</v>
      </c>
      <c r="B480" s="9"/>
      <c r="C480" s="63"/>
      <c r="D480" s="9"/>
      <c r="E480" s="63"/>
      <c r="F480" s="33"/>
      <c r="G480" s="63"/>
      <c r="H480" s="8"/>
      <c r="I480" s="63"/>
      <c r="J480" s="33"/>
      <c r="K480" s="63"/>
      <c r="L480" s="33"/>
      <c r="M480" s="63"/>
    </row>
    <row r="481" spans="1:13" x14ac:dyDescent="0.25">
      <c r="A481" s="62">
        <v>40664</v>
      </c>
      <c r="B481" s="9"/>
      <c r="C481" s="63"/>
      <c r="D481" s="9"/>
      <c r="E481" s="63"/>
      <c r="F481" s="33"/>
      <c r="G481" s="63"/>
      <c r="H481" s="12"/>
      <c r="I481" s="63"/>
      <c r="J481" s="33"/>
      <c r="K481" s="63"/>
      <c r="L481" s="33"/>
      <c r="M481" s="63"/>
    </row>
    <row r="482" spans="1:13" x14ac:dyDescent="0.25">
      <c r="A482" s="62">
        <v>40695</v>
      </c>
      <c r="B482" s="9"/>
      <c r="C482" s="63"/>
      <c r="D482" s="9"/>
      <c r="E482" s="63"/>
      <c r="F482" s="33"/>
      <c r="G482" s="63"/>
      <c r="H482" s="8"/>
      <c r="I482" s="63"/>
      <c r="J482" s="33"/>
      <c r="K482" s="63"/>
      <c r="L482" s="33"/>
      <c r="M482" s="63"/>
    </row>
    <row r="483" spans="1:13" x14ac:dyDescent="0.25">
      <c r="A483" s="62">
        <v>40725</v>
      </c>
      <c r="B483" s="9"/>
      <c r="C483" s="63"/>
      <c r="D483" s="9"/>
      <c r="E483" s="63"/>
      <c r="F483" s="33"/>
      <c r="G483" s="63"/>
      <c r="H483" s="8"/>
      <c r="I483" s="63"/>
      <c r="J483" s="33"/>
      <c r="K483" s="63"/>
      <c r="L483" s="33"/>
      <c r="M483" s="63"/>
    </row>
    <row r="484" spans="1:13" x14ac:dyDescent="0.25">
      <c r="A484" s="62">
        <v>40756</v>
      </c>
      <c r="B484" s="9"/>
      <c r="C484" s="63"/>
      <c r="D484" s="9"/>
      <c r="E484" s="63"/>
      <c r="F484" s="33"/>
      <c r="G484" s="63"/>
      <c r="H484" s="12"/>
      <c r="I484" s="63"/>
      <c r="J484" s="33"/>
      <c r="K484" s="63"/>
      <c r="L484" s="33"/>
      <c r="M484" s="63"/>
    </row>
    <row r="485" spans="1:13" x14ac:dyDescent="0.25">
      <c r="A485" s="62">
        <v>40787</v>
      </c>
      <c r="B485" s="9"/>
      <c r="C485" s="63"/>
      <c r="D485" s="9"/>
      <c r="E485" s="63"/>
      <c r="F485" s="33"/>
      <c r="G485" s="63"/>
      <c r="H485" s="8"/>
      <c r="I485" s="63"/>
      <c r="J485" s="33"/>
      <c r="K485" s="63"/>
      <c r="L485" s="33"/>
      <c r="M485" s="63"/>
    </row>
    <row r="486" spans="1:13" x14ac:dyDescent="0.25">
      <c r="A486" s="62">
        <v>40817</v>
      </c>
      <c r="B486" s="9"/>
      <c r="C486" s="63"/>
      <c r="D486" s="9"/>
      <c r="E486" s="63"/>
      <c r="F486" s="33"/>
      <c r="G486" s="63"/>
      <c r="H486" s="8"/>
      <c r="I486" s="63"/>
      <c r="J486" s="33"/>
      <c r="K486" s="63"/>
      <c r="L486" s="33"/>
      <c r="M486" s="63"/>
    </row>
    <row r="487" spans="1:13" x14ac:dyDescent="0.25">
      <c r="A487" s="62">
        <v>40848</v>
      </c>
      <c r="B487" s="9"/>
      <c r="C487" s="63"/>
      <c r="D487" s="9"/>
      <c r="E487" s="63"/>
      <c r="F487" s="33"/>
      <c r="G487" s="63"/>
      <c r="H487" s="12"/>
      <c r="I487" s="63"/>
      <c r="J487" s="33"/>
      <c r="K487" s="63"/>
      <c r="L487" s="33"/>
      <c r="M487" s="63"/>
    </row>
    <row r="488" spans="1:13" x14ac:dyDescent="0.25">
      <c r="A488" s="62">
        <v>40878</v>
      </c>
      <c r="B488" s="9"/>
      <c r="C488" s="63"/>
      <c r="D488" s="9"/>
      <c r="E488" s="63"/>
      <c r="F488" s="33"/>
      <c r="G488" s="63"/>
      <c r="H488" s="8"/>
      <c r="I488" s="63"/>
      <c r="J488" s="33"/>
      <c r="K488" s="63"/>
      <c r="L488" s="33"/>
      <c r="M488" s="63"/>
    </row>
    <row r="489" spans="1:13" x14ac:dyDescent="0.25">
      <c r="A489" s="62">
        <v>40909</v>
      </c>
      <c r="B489" s="9"/>
      <c r="C489" s="63"/>
      <c r="D489" s="9"/>
      <c r="E489" s="63"/>
      <c r="F489" s="33"/>
      <c r="G489" s="63"/>
      <c r="H489" s="8"/>
      <c r="I489" s="63"/>
      <c r="J489" s="33"/>
      <c r="K489" s="63"/>
      <c r="L489" s="33"/>
      <c r="M489" s="63"/>
    </row>
    <row r="490" spans="1:13" x14ac:dyDescent="0.25">
      <c r="A490" s="62">
        <v>40940</v>
      </c>
      <c r="B490" s="9"/>
      <c r="C490" s="63"/>
      <c r="D490" s="9"/>
      <c r="E490" s="63"/>
      <c r="F490" s="33"/>
      <c r="G490" s="63"/>
      <c r="H490" s="8"/>
      <c r="I490" s="63"/>
      <c r="J490" s="33"/>
      <c r="K490" s="63"/>
      <c r="L490" s="33"/>
      <c r="M490" s="63"/>
    </row>
    <row r="491" spans="1:13" x14ac:dyDescent="0.25">
      <c r="A491" s="62">
        <v>40969</v>
      </c>
      <c r="B491" s="9"/>
      <c r="C491" s="63"/>
      <c r="D491" s="9"/>
      <c r="E491" s="63"/>
      <c r="F491" s="33"/>
      <c r="G491" s="63"/>
      <c r="H491" s="8"/>
      <c r="I491" s="63"/>
      <c r="J491" s="33"/>
      <c r="K491" s="63"/>
      <c r="L491" s="33"/>
      <c r="M491" s="63"/>
    </row>
    <row r="492" spans="1:13" x14ac:dyDescent="0.25">
      <c r="A492" s="62">
        <v>41000</v>
      </c>
      <c r="B492" s="9"/>
      <c r="C492" s="63"/>
      <c r="D492" s="9"/>
      <c r="E492" s="63"/>
      <c r="F492" s="33"/>
      <c r="G492" s="63"/>
      <c r="H492" s="8"/>
      <c r="I492" s="63"/>
      <c r="J492" s="33"/>
      <c r="K492" s="63"/>
      <c r="L492" s="33"/>
      <c r="M492" s="63"/>
    </row>
    <row r="493" spans="1:13" x14ac:dyDescent="0.25">
      <c r="A493" s="62">
        <v>41030</v>
      </c>
      <c r="B493" s="9"/>
      <c r="C493" s="63"/>
      <c r="D493" s="9"/>
      <c r="E493" s="63"/>
      <c r="F493" s="33"/>
      <c r="G493" s="63"/>
      <c r="H493" s="8"/>
      <c r="I493" s="63"/>
      <c r="J493" s="33"/>
      <c r="K493" s="63"/>
      <c r="L493" s="33"/>
      <c r="M493" s="63"/>
    </row>
    <row r="494" spans="1:13" x14ac:dyDescent="0.25">
      <c r="A494" s="62">
        <v>41061</v>
      </c>
      <c r="B494" s="9"/>
      <c r="C494" s="63"/>
      <c r="D494" s="9"/>
      <c r="E494" s="63"/>
      <c r="F494" s="33"/>
      <c r="G494" s="63"/>
      <c r="H494" s="8"/>
      <c r="I494" s="63"/>
      <c r="J494" s="33"/>
      <c r="K494" s="63"/>
      <c r="L494" s="33"/>
      <c r="M494" s="63"/>
    </row>
    <row r="495" spans="1:13" x14ac:dyDescent="0.25">
      <c r="A495" s="62">
        <v>41091</v>
      </c>
      <c r="B495" s="9"/>
      <c r="C495" s="63"/>
      <c r="D495" s="9"/>
      <c r="E495" s="63"/>
      <c r="F495" s="33"/>
      <c r="G495" s="63"/>
      <c r="H495" s="8"/>
      <c r="I495" s="63"/>
      <c r="J495" s="33"/>
      <c r="K495" s="63"/>
      <c r="L495" s="33"/>
      <c r="M495" s="63"/>
    </row>
    <row r="496" spans="1:13" x14ac:dyDescent="0.25">
      <c r="A496" s="62">
        <v>41122</v>
      </c>
      <c r="B496" s="9"/>
      <c r="C496" s="63"/>
      <c r="D496" s="9"/>
      <c r="E496" s="63"/>
      <c r="F496" s="33"/>
      <c r="G496" s="63"/>
      <c r="H496" s="8"/>
      <c r="I496" s="63"/>
      <c r="J496" s="33"/>
      <c r="K496" s="63"/>
      <c r="L496" s="33"/>
      <c r="M496" s="63"/>
    </row>
    <row r="497" spans="1:13" x14ac:dyDescent="0.25">
      <c r="A497" s="62">
        <v>41153</v>
      </c>
      <c r="B497" s="9"/>
      <c r="C497" s="63"/>
      <c r="D497" s="9"/>
      <c r="E497" s="63"/>
      <c r="F497" s="33"/>
      <c r="G497" s="63"/>
      <c r="H497" s="8"/>
      <c r="I497" s="63"/>
      <c r="J497" s="33"/>
      <c r="K497" s="63"/>
      <c r="L497" s="33"/>
      <c r="M497" s="63"/>
    </row>
    <row r="498" spans="1:13" x14ac:dyDescent="0.25">
      <c r="A498" s="62">
        <v>41183</v>
      </c>
      <c r="B498" s="9"/>
      <c r="C498" s="63"/>
      <c r="D498" s="9"/>
      <c r="E498" s="63"/>
      <c r="F498" s="33"/>
      <c r="G498" s="63"/>
      <c r="H498" s="8"/>
      <c r="I498" s="63"/>
      <c r="J498" s="33"/>
      <c r="K498" s="63"/>
      <c r="L498" s="33"/>
      <c r="M498" s="63"/>
    </row>
    <row r="499" spans="1:13" x14ac:dyDescent="0.25">
      <c r="A499" s="62">
        <v>41214</v>
      </c>
      <c r="B499" s="9"/>
      <c r="C499" s="63"/>
      <c r="D499" s="9"/>
      <c r="E499" s="63"/>
      <c r="F499" s="33"/>
      <c r="G499" s="63"/>
      <c r="H499" s="8"/>
      <c r="I499" s="63"/>
      <c r="J499" s="33"/>
      <c r="K499" s="63"/>
      <c r="L499" s="33"/>
      <c r="M499" s="63"/>
    </row>
    <row r="500" spans="1:13" x14ac:dyDescent="0.25">
      <c r="A500" s="62">
        <v>41244</v>
      </c>
      <c r="B500" s="9"/>
      <c r="C500" s="63"/>
      <c r="D500" s="9"/>
      <c r="E500" s="63"/>
      <c r="F500" s="33"/>
      <c r="G500" s="63"/>
      <c r="H500" s="8"/>
      <c r="I500" s="63"/>
      <c r="J500" s="33"/>
      <c r="K500" s="63"/>
      <c r="L500" s="33"/>
      <c r="M500" s="63"/>
    </row>
    <row r="501" spans="1:13" x14ac:dyDescent="0.25">
      <c r="A501" s="62">
        <v>41275</v>
      </c>
      <c r="B501" s="9"/>
      <c r="C501" s="63"/>
      <c r="D501" s="9"/>
      <c r="E501" s="63"/>
      <c r="F501" s="33"/>
      <c r="G501" s="63"/>
      <c r="H501" s="8"/>
      <c r="I501" s="63"/>
      <c r="J501" s="33"/>
      <c r="K501" s="63"/>
      <c r="L501" s="33"/>
      <c r="M501" s="63"/>
    </row>
    <row r="502" spans="1:13" x14ac:dyDescent="0.25">
      <c r="A502" s="62">
        <v>41306</v>
      </c>
      <c r="B502" s="9"/>
      <c r="C502" s="63"/>
      <c r="D502" s="9"/>
      <c r="E502" s="63"/>
      <c r="F502" s="33"/>
      <c r="G502" s="63"/>
      <c r="H502" s="8"/>
      <c r="I502" s="63"/>
      <c r="J502" s="33"/>
      <c r="K502" s="63"/>
      <c r="L502" s="33"/>
      <c r="M502" s="63"/>
    </row>
    <row r="503" spans="1:13" x14ac:dyDescent="0.25">
      <c r="A503" s="62">
        <v>41334</v>
      </c>
      <c r="B503" s="9"/>
      <c r="C503" s="63"/>
      <c r="D503" s="9"/>
      <c r="E503" s="63"/>
      <c r="F503" s="33"/>
      <c r="G503" s="63"/>
      <c r="H503" s="8"/>
      <c r="I503" s="63"/>
      <c r="J503" s="33"/>
      <c r="K503" s="63"/>
      <c r="L503" s="33"/>
      <c r="M503" s="63"/>
    </row>
    <row r="504" spans="1:13" x14ac:dyDescent="0.25">
      <c r="A504" s="62">
        <v>41365</v>
      </c>
      <c r="B504" s="9"/>
      <c r="C504" s="63"/>
      <c r="D504" s="9"/>
      <c r="E504" s="63"/>
      <c r="F504" s="33"/>
      <c r="G504" s="63"/>
      <c r="H504" s="8"/>
      <c r="I504" s="63"/>
      <c r="J504" s="33"/>
      <c r="K504" s="63"/>
      <c r="L504" s="33"/>
      <c r="M504" s="63"/>
    </row>
    <row r="505" spans="1:13" x14ac:dyDescent="0.25">
      <c r="A505" s="62">
        <v>41395</v>
      </c>
      <c r="B505" s="9"/>
      <c r="C505" s="63"/>
      <c r="D505" s="9"/>
      <c r="E505" s="63"/>
      <c r="F505" s="33"/>
      <c r="G505" s="63"/>
      <c r="H505" s="8"/>
      <c r="I505" s="63"/>
      <c r="J505" s="33"/>
      <c r="K505" s="63"/>
      <c r="L505" s="33"/>
      <c r="M505" s="63"/>
    </row>
    <row r="506" spans="1:13" x14ac:dyDescent="0.25">
      <c r="A506" s="62">
        <v>41426</v>
      </c>
      <c r="B506" s="9"/>
      <c r="C506" s="63"/>
      <c r="D506" s="9"/>
      <c r="E506" s="63"/>
      <c r="F506" s="33"/>
      <c r="G506" s="63"/>
      <c r="H506" s="8"/>
      <c r="I506" s="63"/>
      <c r="J506" s="33"/>
      <c r="K506" s="63"/>
      <c r="L506" s="33"/>
      <c r="M506" s="63"/>
    </row>
    <row r="507" spans="1:13" x14ac:dyDescent="0.25">
      <c r="A507" s="62">
        <v>41456</v>
      </c>
      <c r="B507" s="9"/>
      <c r="C507" s="63"/>
      <c r="D507" s="9"/>
      <c r="E507" s="63"/>
      <c r="F507" s="33"/>
      <c r="G507" s="63"/>
      <c r="H507" s="8"/>
      <c r="I507" s="63"/>
      <c r="J507" s="33"/>
      <c r="K507" s="63"/>
      <c r="L507" s="33"/>
      <c r="M507" s="63"/>
    </row>
    <row r="508" spans="1:13" x14ac:dyDescent="0.25">
      <c r="A508" s="62">
        <v>41487</v>
      </c>
      <c r="B508" s="9"/>
      <c r="C508" s="63"/>
      <c r="D508" s="9"/>
      <c r="E508" s="63"/>
      <c r="F508" s="33"/>
      <c r="G508" s="63"/>
      <c r="H508" s="8"/>
      <c r="I508" s="63"/>
      <c r="J508" s="33"/>
      <c r="K508" s="63"/>
      <c r="L508" s="33"/>
      <c r="M508" s="63"/>
    </row>
    <row r="509" spans="1:13" x14ac:dyDescent="0.25">
      <c r="A509" s="62">
        <v>41518</v>
      </c>
      <c r="B509" s="9"/>
      <c r="C509" s="63"/>
      <c r="D509" s="9"/>
      <c r="E509" s="63"/>
      <c r="F509" s="33"/>
      <c r="G509" s="63"/>
      <c r="H509" s="8"/>
      <c r="I509" s="63"/>
      <c r="J509" s="33"/>
      <c r="K509" s="63"/>
      <c r="L509" s="33"/>
      <c r="M509" s="63"/>
    </row>
    <row r="510" spans="1:13" x14ac:dyDescent="0.25">
      <c r="A510" s="62">
        <v>41548</v>
      </c>
      <c r="B510" s="9"/>
      <c r="C510" s="63"/>
      <c r="D510" s="9"/>
      <c r="E510" s="63"/>
      <c r="F510" s="33"/>
      <c r="G510" s="63"/>
      <c r="H510" s="8"/>
      <c r="I510" s="63"/>
      <c r="J510" s="33"/>
      <c r="K510" s="63"/>
      <c r="L510" s="33"/>
      <c r="M510" s="63"/>
    </row>
    <row r="511" spans="1:13" x14ac:dyDescent="0.25">
      <c r="A511" s="62">
        <v>41579</v>
      </c>
      <c r="B511" s="9"/>
      <c r="C511" s="63"/>
      <c r="D511" s="9"/>
      <c r="E511" s="63"/>
      <c r="F511" s="33"/>
      <c r="G511" s="63"/>
      <c r="H511" s="8"/>
      <c r="I511" s="63"/>
      <c r="J511" s="33"/>
      <c r="K511" s="63"/>
      <c r="L511" s="33"/>
      <c r="M511" s="63"/>
    </row>
    <row r="512" spans="1:13" x14ac:dyDescent="0.25">
      <c r="A512" s="62">
        <v>41609</v>
      </c>
      <c r="B512" s="9"/>
      <c r="C512" s="63"/>
      <c r="D512" s="9"/>
      <c r="E512" s="63"/>
      <c r="F512" s="33"/>
      <c r="G512" s="63"/>
      <c r="H512" s="8"/>
      <c r="I512" s="63"/>
      <c r="J512" s="33"/>
      <c r="K512" s="63"/>
      <c r="L512" s="33"/>
      <c r="M512" s="63"/>
    </row>
    <row r="513" spans="1:13" x14ac:dyDescent="0.25">
      <c r="A513" s="62">
        <v>41640</v>
      </c>
      <c r="B513" s="9"/>
      <c r="D513" s="9"/>
      <c r="E513" s="10"/>
      <c r="F513" s="33"/>
      <c r="G513" s="7"/>
      <c r="H513" s="8"/>
      <c r="I513" s="8"/>
      <c r="J513" s="33"/>
      <c r="K513" s="10"/>
      <c r="L513" s="33"/>
      <c r="M513" s="10"/>
    </row>
    <row r="514" spans="1:13" x14ac:dyDescent="0.25">
      <c r="A514" s="62">
        <v>41671</v>
      </c>
      <c r="B514" s="9"/>
      <c r="D514" s="9"/>
      <c r="E514" s="10"/>
      <c r="F514" s="33"/>
      <c r="G514" s="7"/>
      <c r="H514" s="8"/>
      <c r="I514" s="8"/>
      <c r="J514" s="33"/>
      <c r="K514" s="10"/>
      <c r="L514" s="33"/>
      <c r="M514" s="10"/>
    </row>
    <row r="515" spans="1:13" x14ac:dyDescent="0.25">
      <c r="A515" s="62">
        <v>41699</v>
      </c>
      <c r="B515" s="9"/>
      <c r="D515" s="9"/>
      <c r="E515" s="10"/>
      <c r="F515" s="33"/>
      <c r="G515" s="7"/>
      <c r="H515" s="8"/>
      <c r="I515" s="8"/>
      <c r="J515" s="33"/>
      <c r="K515" s="10"/>
      <c r="L515" s="33"/>
      <c r="M515" s="10"/>
    </row>
    <row r="516" spans="1:13" x14ac:dyDescent="0.25">
      <c r="A516" s="62">
        <v>41730</v>
      </c>
      <c r="B516" s="9"/>
      <c r="D516" s="9"/>
      <c r="E516" s="10"/>
      <c r="F516" s="33"/>
      <c r="G516" s="7"/>
      <c r="H516" s="8"/>
      <c r="I516" s="8"/>
      <c r="J516" s="33"/>
      <c r="K516" s="10"/>
      <c r="L516" s="33"/>
      <c r="M516" s="10"/>
    </row>
    <row r="517" spans="1:13" x14ac:dyDescent="0.25">
      <c r="A517" s="62">
        <v>41760</v>
      </c>
      <c r="B517" s="9"/>
      <c r="C517" s="93">
        <f>7835</f>
        <v>7835</v>
      </c>
      <c r="D517" s="9"/>
      <c r="E517" s="10"/>
      <c r="F517" s="33"/>
      <c r="G517" s="7"/>
      <c r="H517" s="8"/>
      <c r="I517" s="8"/>
      <c r="J517" s="33"/>
      <c r="K517" s="10"/>
      <c r="L517" s="33"/>
      <c r="M517" s="10"/>
    </row>
    <row r="518" spans="1:13" x14ac:dyDescent="0.25">
      <c r="A518" s="62">
        <v>41791</v>
      </c>
      <c r="B518" s="9"/>
      <c r="D518" s="9"/>
      <c r="E518" s="10"/>
      <c r="F518" s="33"/>
      <c r="G518" s="7"/>
      <c r="H518" s="8"/>
      <c r="I518" s="8"/>
      <c r="J518" s="33"/>
      <c r="K518" s="10"/>
      <c r="L518" s="33"/>
      <c r="M518" s="10"/>
    </row>
    <row r="519" spans="1:13" x14ac:dyDescent="0.25">
      <c r="A519" s="62">
        <v>41821</v>
      </c>
      <c r="B519" s="9"/>
      <c r="D519" s="9"/>
      <c r="E519" s="10"/>
      <c r="F519" s="33"/>
      <c r="G519" s="7"/>
      <c r="H519" s="8"/>
      <c r="I519" s="8"/>
      <c r="J519" s="33"/>
      <c r="K519" s="10"/>
      <c r="L519" s="33"/>
      <c r="M519" s="10"/>
    </row>
    <row r="520" spans="1:13" x14ac:dyDescent="0.25">
      <c r="A520" s="62">
        <v>41852</v>
      </c>
      <c r="B520" s="9"/>
      <c r="D520" s="9"/>
      <c r="E520" s="10"/>
      <c r="F520" s="33"/>
      <c r="G520" s="7"/>
      <c r="H520" s="8"/>
      <c r="I520" s="8"/>
      <c r="J520" s="33"/>
      <c r="K520" s="10"/>
      <c r="L520" s="33"/>
      <c r="M520" s="10"/>
    </row>
    <row r="521" spans="1:13" x14ac:dyDescent="0.25">
      <c r="A521" s="62">
        <v>41883</v>
      </c>
      <c r="B521" s="9"/>
      <c r="D521" s="9"/>
      <c r="E521" s="10"/>
      <c r="F521" s="33"/>
      <c r="G521" s="7"/>
      <c r="H521" s="8"/>
      <c r="I521" s="8"/>
      <c r="J521" s="33"/>
      <c r="K521" s="10"/>
      <c r="L521" s="33"/>
      <c r="M521" s="10"/>
    </row>
    <row r="522" spans="1:13" x14ac:dyDescent="0.25">
      <c r="A522" s="62">
        <v>41913</v>
      </c>
      <c r="B522" s="9"/>
      <c r="D522" s="9"/>
      <c r="E522" s="10"/>
      <c r="F522" s="33"/>
      <c r="G522" s="7"/>
      <c r="H522" s="8"/>
      <c r="I522" s="8"/>
      <c r="J522" s="33"/>
      <c r="K522" s="10"/>
      <c r="L522" s="33"/>
      <c r="M522" s="10"/>
    </row>
    <row r="523" spans="1:13" x14ac:dyDescent="0.25">
      <c r="A523" s="62">
        <v>41944</v>
      </c>
      <c r="B523" s="9"/>
      <c r="D523" s="9"/>
      <c r="E523" s="10"/>
      <c r="F523" s="33"/>
      <c r="G523" s="7"/>
      <c r="H523" s="8"/>
      <c r="I523" s="8"/>
      <c r="J523" s="33"/>
      <c r="K523" s="10"/>
      <c r="L523" s="33"/>
      <c r="M523" s="10"/>
    </row>
    <row r="524" spans="1:13" x14ac:dyDescent="0.25">
      <c r="A524" s="62">
        <v>41974</v>
      </c>
      <c r="B524" s="9"/>
      <c r="D524" s="9"/>
      <c r="E524" s="10"/>
      <c r="F524" s="33"/>
      <c r="G524" s="7"/>
      <c r="H524" s="8"/>
      <c r="I524" s="8"/>
      <c r="J524" s="33"/>
      <c r="K524" s="10"/>
      <c r="L524" s="33"/>
      <c r="M524" s="10"/>
    </row>
    <row r="525" spans="1:13" x14ac:dyDescent="0.25">
      <c r="A525" s="62">
        <v>42005</v>
      </c>
      <c r="D525" s="7"/>
      <c r="E525" s="10"/>
      <c r="F525" s="33"/>
      <c r="G525" s="7"/>
      <c r="H525" s="8"/>
      <c r="I525" s="8"/>
      <c r="J525" s="33"/>
      <c r="K525" s="10"/>
      <c r="L525" s="33"/>
      <c r="M525" s="10"/>
    </row>
    <row r="526" spans="1:13" x14ac:dyDescent="0.25">
      <c r="A526" s="62">
        <v>42036</v>
      </c>
      <c r="D526" s="7"/>
      <c r="E526" s="10"/>
      <c r="F526" s="33"/>
      <c r="G526" s="7"/>
      <c r="H526" s="8"/>
      <c r="I526" s="8"/>
      <c r="J526" s="33"/>
      <c r="K526" s="10"/>
      <c r="L526" s="33"/>
      <c r="M526" s="10"/>
    </row>
    <row r="527" spans="1:13" x14ac:dyDescent="0.25">
      <c r="A527" s="62">
        <v>42064</v>
      </c>
      <c r="D527" s="7"/>
      <c r="E527" s="10"/>
      <c r="F527" s="33"/>
      <c r="G527" s="7"/>
      <c r="H527" s="8"/>
      <c r="I527" s="8"/>
      <c r="J527" s="33"/>
      <c r="K527" s="10"/>
      <c r="L527" s="33"/>
      <c r="M527" s="10"/>
    </row>
    <row r="528" spans="1:13" x14ac:dyDescent="0.25">
      <c r="A528" s="62">
        <v>42095</v>
      </c>
      <c r="D528" s="7"/>
      <c r="E528" s="10"/>
      <c r="F528" s="33"/>
      <c r="G528" s="7"/>
      <c r="H528" s="8"/>
      <c r="I528" s="8"/>
      <c r="J528" s="33"/>
      <c r="K528" s="10"/>
      <c r="L528" s="33"/>
      <c r="M528" s="10"/>
    </row>
    <row r="529" spans="1:13" x14ac:dyDescent="0.25">
      <c r="A529" s="62">
        <v>42125</v>
      </c>
      <c r="D529" s="7"/>
      <c r="E529" s="10"/>
      <c r="F529" s="33"/>
      <c r="G529" s="7"/>
      <c r="H529" s="8"/>
      <c r="I529" s="8"/>
      <c r="J529" s="33"/>
      <c r="K529" s="10"/>
      <c r="L529" s="33"/>
      <c r="M529" s="10"/>
    </row>
    <row r="530" spans="1:13" x14ac:dyDescent="0.25">
      <c r="A530" s="62">
        <v>42156</v>
      </c>
      <c r="D530" s="7"/>
      <c r="E530" s="10"/>
      <c r="F530" s="33"/>
      <c r="G530" s="7"/>
      <c r="H530" s="8"/>
      <c r="I530" s="8"/>
      <c r="J530" s="33"/>
      <c r="K530" s="10"/>
      <c r="L530" s="33"/>
      <c r="M530" s="10"/>
    </row>
    <row r="531" spans="1:13" x14ac:dyDescent="0.25">
      <c r="A531" s="62">
        <v>42186</v>
      </c>
      <c r="D531" s="7"/>
      <c r="E531" s="10"/>
      <c r="F531" s="33"/>
      <c r="G531" s="7"/>
      <c r="H531" s="8"/>
      <c r="I531" s="8"/>
      <c r="J531" s="33"/>
      <c r="K531" s="10"/>
      <c r="L531" s="33"/>
      <c r="M531" s="10"/>
    </row>
    <row r="532" spans="1:13" x14ac:dyDescent="0.25">
      <c r="A532" s="62">
        <v>42217</v>
      </c>
      <c r="D532" s="7"/>
      <c r="E532" s="10"/>
      <c r="F532" s="33"/>
      <c r="G532" s="7"/>
      <c r="H532" s="8"/>
      <c r="I532" s="8"/>
      <c r="J532" s="33"/>
      <c r="K532" s="10"/>
      <c r="L532" s="33"/>
      <c r="M532" s="10"/>
    </row>
    <row r="533" spans="1:13" x14ac:dyDescent="0.25">
      <c r="A533" s="62">
        <v>42248</v>
      </c>
      <c r="D533" s="7"/>
      <c r="E533" s="10"/>
      <c r="F533" s="33"/>
      <c r="G533" s="7"/>
      <c r="H533" s="8"/>
      <c r="I533" s="6"/>
      <c r="J533" s="33"/>
      <c r="K533" s="10"/>
      <c r="L533" s="33"/>
      <c r="M533" s="10"/>
    </row>
    <row r="534" spans="1:13" x14ac:dyDescent="0.25">
      <c r="A534" s="62">
        <v>42278</v>
      </c>
      <c r="D534" s="7"/>
      <c r="E534" s="10"/>
      <c r="F534" s="33"/>
      <c r="G534" s="7"/>
      <c r="H534" s="8"/>
      <c r="I534" s="6"/>
      <c r="J534" s="33"/>
      <c r="K534" s="10"/>
      <c r="L534" s="33"/>
      <c r="M534" s="10"/>
    </row>
    <row r="535" spans="1:13" x14ac:dyDescent="0.25">
      <c r="A535" s="62">
        <v>42309</v>
      </c>
      <c r="D535" s="7"/>
      <c r="E535" s="10"/>
      <c r="F535" s="33"/>
      <c r="G535" s="7"/>
      <c r="H535" s="8"/>
      <c r="I535" s="6"/>
      <c r="J535" s="33"/>
      <c r="K535" s="10"/>
      <c r="L535" s="33"/>
      <c r="M535" s="10"/>
    </row>
    <row r="536" spans="1:13" x14ac:dyDescent="0.25">
      <c r="A536" s="62">
        <v>42339</v>
      </c>
      <c r="D536" s="7"/>
      <c r="E536" s="10"/>
      <c r="F536" s="33"/>
      <c r="G536" s="7"/>
      <c r="H536" s="8"/>
      <c r="I536" s="6"/>
      <c r="J536" s="33"/>
      <c r="K536" s="10"/>
      <c r="L536" s="33"/>
      <c r="M536" s="10"/>
    </row>
    <row r="537" spans="1:13" x14ac:dyDescent="0.25">
      <c r="A537" s="62">
        <v>42370</v>
      </c>
      <c r="D537" s="7"/>
      <c r="E537" s="10"/>
      <c r="F537" s="33"/>
      <c r="G537" s="7"/>
      <c r="H537" s="12"/>
      <c r="I537" s="8"/>
      <c r="J537" s="33"/>
      <c r="K537" s="10"/>
      <c r="L537" s="33"/>
      <c r="M537" s="10"/>
    </row>
    <row r="538" spans="1:13" x14ac:dyDescent="0.25">
      <c r="A538" s="62">
        <v>42401</v>
      </c>
      <c r="D538" s="7"/>
      <c r="E538" s="10"/>
      <c r="F538" s="33"/>
      <c r="G538" s="7"/>
      <c r="H538" s="12"/>
      <c r="I538" s="8"/>
      <c r="J538" s="33"/>
      <c r="K538" s="10"/>
      <c r="L538" s="33"/>
      <c r="M538" s="10"/>
    </row>
    <row r="539" spans="1:13" x14ac:dyDescent="0.25">
      <c r="A539" s="62">
        <v>42430</v>
      </c>
      <c r="D539" s="7"/>
      <c r="E539" s="10"/>
      <c r="F539" s="33"/>
      <c r="G539" s="7"/>
      <c r="H539" s="12"/>
      <c r="I539" s="8"/>
      <c r="J539" s="33"/>
      <c r="K539" s="10"/>
      <c r="L539" s="33"/>
      <c r="M539" s="10"/>
    </row>
    <row r="540" spans="1:13" x14ac:dyDescent="0.25">
      <c r="A540" s="62">
        <v>42461</v>
      </c>
      <c r="D540" s="7"/>
      <c r="E540" s="10"/>
      <c r="F540" s="33"/>
      <c r="G540" s="7"/>
      <c r="H540" s="12"/>
      <c r="I540" s="8"/>
      <c r="J540" s="33"/>
      <c r="K540" s="10"/>
      <c r="L540" s="33"/>
      <c r="M540" s="10"/>
    </row>
    <row r="541" spans="1:13" x14ac:dyDescent="0.25">
      <c r="A541" s="62">
        <v>42491</v>
      </c>
      <c r="D541" s="7"/>
      <c r="E541" s="10"/>
      <c r="F541" s="33"/>
      <c r="G541" s="7"/>
      <c r="H541" s="12"/>
      <c r="I541" s="8"/>
      <c r="J541" s="33"/>
      <c r="K541" s="10"/>
      <c r="L541" s="33"/>
      <c r="M541" s="10"/>
    </row>
    <row r="542" spans="1:13" x14ac:dyDescent="0.25">
      <c r="A542" s="62">
        <v>42522</v>
      </c>
      <c r="D542" s="7"/>
      <c r="E542" s="10"/>
      <c r="F542" s="33"/>
      <c r="G542" s="7"/>
      <c r="H542" s="12"/>
      <c r="I542" s="8"/>
      <c r="J542" s="33"/>
      <c r="K542" s="10"/>
      <c r="L542" s="33"/>
      <c r="M542" s="10"/>
    </row>
    <row r="543" spans="1:13" x14ac:dyDescent="0.25">
      <c r="A543" s="62">
        <v>42552</v>
      </c>
      <c r="B543" s="10"/>
      <c r="D543" s="10"/>
      <c r="E543" s="10"/>
      <c r="F543" s="33"/>
      <c r="G543" s="7"/>
      <c r="H543" s="12"/>
      <c r="I543" s="6"/>
      <c r="J543" s="33"/>
      <c r="K543" s="10"/>
      <c r="L543" s="33"/>
      <c r="M543" s="7"/>
    </row>
    <row r="544" spans="1:13" x14ac:dyDescent="0.25">
      <c r="A544" s="62">
        <v>42583</v>
      </c>
      <c r="D544" s="7"/>
      <c r="E544" s="10"/>
      <c r="F544" s="33"/>
      <c r="G544" s="7"/>
      <c r="H544" s="12"/>
      <c r="I544" s="6"/>
      <c r="J544" s="33"/>
      <c r="K544" s="10"/>
      <c r="L544" s="33"/>
      <c r="M544" s="10"/>
    </row>
    <row r="545" spans="1:13" x14ac:dyDescent="0.25">
      <c r="A545" s="62">
        <v>42614</v>
      </c>
      <c r="D545" s="7"/>
      <c r="E545" s="10"/>
      <c r="F545" s="33"/>
      <c r="G545" s="7"/>
      <c r="H545" s="12"/>
      <c r="I545" s="8"/>
      <c r="J545" s="33"/>
      <c r="K545" s="10"/>
      <c r="L545" s="33"/>
      <c r="M545" s="10"/>
    </row>
    <row r="546" spans="1:13" x14ac:dyDescent="0.25">
      <c r="A546" s="62">
        <v>42644</v>
      </c>
      <c r="D546" s="7"/>
      <c r="E546" s="10"/>
      <c r="F546" s="7"/>
      <c r="G546" s="7"/>
      <c r="H546" s="12"/>
      <c r="I546" s="8"/>
      <c r="J546" s="33"/>
      <c r="K546" s="10"/>
      <c r="L546" s="33"/>
      <c r="M546" s="10"/>
    </row>
    <row r="547" spans="1:13" x14ac:dyDescent="0.25">
      <c r="A547" s="62">
        <v>42675</v>
      </c>
      <c r="D547" s="7"/>
      <c r="E547" s="10"/>
      <c r="F547" s="10"/>
      <c r="G547" s="10"/>
      <c r="H547" s="12"/>
      <c r="I547" s="8"/>
      <c r="J547" s="33"/>
      <c r="K547" s="10"/>
      <c r="L547" s="33"/>
      <c r="M547" s="10"/>
    </row>
    <row r="548" spans="1:13" x14ac:dyDescent="0.25">
      <c r="A548" s="62">
        <v>42705</v>
      </c>
      <c r="D548" s="7"/>
      <c r="E548" s="10"/>
      <c r="F548" s="10"/>
      <c r="G548" s="10"/>
      <c r="H548" s="12"/>
      <c r="I548" s="8"/>
      <c r="J548" s="33"/>
      <c r="K548" s="10"/>
      <c r="L548" s="33"/>
      <c r="M548" s="10"/>
    </row>
    <row r="549" spans="1:13" x14ac:dyDescent="0.25">
      <c r="A549" s="62">
        <v>42736</v>
      </c>
      <c r="D549" s="10"/>
      <c r="E549" s="7"/>
      <c r="F549" s="10"/>
      <c r="G549" s="10"/>
      <c r="H549" s="12"/>
      <c r="I549" s="8"/>
      <c r="J549" s="33"/>
      <c r="K549" s="10"/>
      <c r="L549" s="33"/>
      <c r="M549" s="10"/>
    </row>
    <row r="550" spans="1:13" x14ac:dyDescent="0.25">
      <c r="A550" s="62">
        <v>42767</v>
      </c>
      <c r="B550" s="10"/>
      <c r="C550" s="16"/>
      <c r="D550" s="10"/>
      <c r="E550" s="16"/>
      <c r="F550" s="78"/>
      <c r="G550" s="16"/>
      <c r="H550" s="12"/>
      <c r="I550" s="17"/>
      <c r="J550" s="33"/>
      <c r="K550" s="16"/>
      <c r="L550" s="33"/>
      <c r="M550" s="16"/>
    </row>
    <row r="551" spans="1:13" x14ac:dyDescent="0.25">
      <c r="A551" s="62">
        <v>42795</v>
      </c>
      <c r="B551" s="75"/>
      <c r="C551" s="16"/>
      <c r="D551" s="75"/>
      <c r="E551" s="16"/>
      <c r="F551" s="10"/>
      <c r="G551" s="16"/>
      <c r="H551" s="12"/>
      <c r="I551" s="17"/>
      <c r="J551" s="33"/>
      <c r="K551" s="16"/>
      <c r="L551" s="33"/>
      <c r="M551" s="16"/>
    </row>
    <row r="552" spans="1:13" x14ac:dyDescent="0.25">
      <c r="A552" s="62">
        <v>42826</v>
      </c>
      <c r="B552" s="10"/>
      <c r="C552" s="16"/>
      <c r="D552" s="10"/>
      <c r="E552" s="16"/>
      <c r="F552" s="10"/>
      <c r="G552" s="16"/>
      <c r="H552" s="12"/>
      <c r="I552" s="17"/>
      <c r="J552" s="33"/>
      <c r="K552" s="16"/>
      <c r="L552" s="33"/>
      <c r="M552" s="16"/>
    </row>
    <row r="553" spans="1:13" x14ac:dyDescent="0.25">
      <c r="A553" s="62">
        <v>42856</v>
      </c>
      <c r="B553" s="10"/>
      <c r="C553" s="16"/>
      <c r="D553" s="10"/>
      <c r="E553" s="16"/>
      <c r="F553" s="10"/>
      <c r="G553" s="16"/>
      <c r="H553" s="12"/>
      <c r="I553" s="17"/>
      <c r="J553" s="33"/>
      <c r="K553" s="16"/>
      <c r="L553" s="33"/>
      <c r="M553" s="16"/>
    </row>
    <row r="554" spans="1:13" x14ac:dyDescent="0.25">
      <c r="A554" s="62">
        <v>42887</v>
      </c>
      <c r="B554" s="10"/>
      <c r="C554" s="16"/>
      <c r="D554" s="10"/>
      <c r="E554" s="16"/>
      <c r="F554" s="33"/>
      <c r="G554" s="16"/>
      <c r="H554" s="12"/>
      <c r="I554" s="17"/>
      <c r="J554" s="33"/>
      <c r="K554" s="16"/>
      <c r="L554" s="33"/>
      <c r="M554" s="16"/>
    </row>
    <row r="555" spans="1:13" x14ac:dyDescent="0.25">
      <c r="A555" s="62">
        <v>42917</v>
      </c>
      <c r="C555" s="16"/>
      <c r="D555" s="7"/>
      <c r="E555" s="16"/>
      <c r="F555" s="33"/>
      <c r="G555" s="16"/>
      <c r="H555" s="12"/>
      <c r="I555" s="17"/>
      <c r="J555" s="33"/>
      <c r="K555" s="16"/>
      <c r="L555" s="33"/>
      <c r="M555" s="16"/>
    </row>
    <row r="556" spans="1:13" x14ac:dyDescent="0.25">
      <c r="A556" s="62">
        <v>42948</v>
      </c>
      <c r="C556" s="16"/>
      <c r="D556" s="7"/>
      <c r="E556" s="16"/>
      <c r="F556" s="33"/>
      <c r="G556" s="16"/>
      <c r="H556" s="12"/>
      <c r="I556" s="17"/>
      <c r="J556" s="33"/>
      <c r="K556" s="16"/>
      <c r="L556" s="33"/>
      <c r="M556" s="16"/>
    </row>
    <row r="557" spans="1:13" x14ac:dyDescent="0.25">
      <c r="A557" s="62">
        <v>42979</v>
      </c>
      <c r="C557" s="18"/>
      <c r="D557" s="7"/>
      <c r="E557" s="18"/>
      <c r="F557" s="33"/>
      <c r="G557" s="18"/>
      <c r="H557" s="12"/>
      <c r="I557" s="19"/>
      <c r="J557" s="33"/>
      <c r="K557" s="18"/>
      <c r="L557" s="33"/>
      <c r="M557" s="18"/>
    </row>
    <row r="558" spans="1:13" x14ac:dyDescent="0.25">
      <c r="A558" s="62">
        <v>43009</v>
      </c>
      <c r="C558" s="18"/>
      <c r="D558" s="7"/>
      <c r="E558" s="18"/>
      <c r="F558" s="33"/>
      <c r="G558" s="18"/>
      <c r="H558" s="12"/>
      <c r="I558" s="19"/>
      <c r="J558" s="33"/>
      <c r="K558" s="18"/>
      <c r="L558" s="33"/>
      <c r="M558" s="18"/>
    </row>
    <row r="559" spans="1:13" x14ac:dyDescent="0.25">
      <c r="A559" s="62">
        <v>43040</v>
      </c>
      <c r="C559" s="18"/>
      <c r="D559" s="7"/>
      <c r="E559" s="18"/>
      <c r="F559" s="33"/>
      <c r="G559" s="18"/>
      <c r="H559" s="12"/>
      <c r="I559" s="19"/>
      <c r="J559" s="33"/>
      <c r="K559" s="18"/>
      <c r="L559" s="33"/>
      <c r="M559" s="18"/>
    </row>
    <row r="560" spans="1:13" x14ac:dyDescent="0.25">
      <c r="A560" s="62">
        <v>43070</v>
      </c>
      <c r="C560" s="18"/>
      <c r="D560" s="7"/>
      <c r="E560" s="18"/>
      <c r="F560" s="33"/>
      <c r="G560" s="18"/>
      <c r="H560" s="12"/>
      <c r="I560" s="19"/>
      <c r="J560" s="33"/>
      <c r="K560" s="18"/>
      <c r="L560" s="33"/>
      <c r="M560" s="18"/>
    </row>
    <row r="561" spans="1:13" x14ac:dyDescent="0.25">
      <c r="A561" s="62">
        <v>43101</v>
      </c>
      <c r="C561" s="16"/>
      <c r="D561" s="7"/>
      <c r="E561" s="16"/>
      <c r="F561" s="33"/>
      <c r="G561" s="16"/>
      <c r="H561" s="12"/>
      <c r="I561" s="17">
        <v>0</v>
      </c>
      <c r="J561" s="33"/>
      <c r="K561" s="96">
        <v>2422.9614695340501</v>
      </c>
      <c r="L561" s="33"/>
      <c r="M561" s="16"/>
    </row>
    <row r="562" spans="1:13" x14ac:dyDescent="0.25">
      <c r="A562" s="62">
        <v>43132</v>
      </c>
      <c r="C562" s="16"/>
      <c r="D562" s="7"/>
      <c r="E562" s="16"/>
      <c r="F562" s="33"/>
      <c r="G562" s="16"/>
      <c r="H562" s="12"/>
      <c r="I562" s="17"/>
      <c r="J562" s="33"/>
      <c r="K562" s="16"/>
      <c r="L562" s="33"/>
      <c r="M562" s="16"/>
    </row>
    <row r="563" spans="1:13" x14ac:dyDescent="0.25">
      <c r="A563" s="62">
        <v>43160</v>
      </c>
      <c r="C563" s="16"/>
      <c r="D563" s="7"/>
      <c r="E563" s="16"/>
      <c r="F563" s="33"/>
      <c r="G563" s="16"/>
      <c r="H563" s="12"/>
      <c r="I563" s="17"/>
      <c r="J563" s="33"/>
      <c r="K563" s="16"/>
      <c r="L563" s="33"/>
      <c r="M563" s="16"/>
    </row>
    <row r="564" spans="1:13" x14ac:dyDescent="0.25">
      <c r="A564" s="62">
        <v>43191</v>
      </c>
      <c r="C564" s="16"/>
      <c r="D564" s="7"/>
      <c r="E564" s="16"/>
      <c r="F564" s="33"/>
      <c r="G564" s="16"/>
      <c r="H564" s="12"/>
      <c r="I564" s="17"/>
      <c r="J564" s="33"/>
      <c r="K564" s="16"/>
      <c r="L564" s="33"/>
      <c r="M564" s="16"/>
    </row>
    <row r="565" spans="1:13" x14ac:dyDescent="0.25">
      <c r="A565" s="62">
        <v>43221</v>
      </c>
      <c r="C565" s="16"/>
      <c r="D565" s="7"/>
      <c r="E565" s="16"/>
      <c r="F565" s="33"/>
      <c r="G565" s="16"/>
      <c r="H565" s="12"/>
      <c r="I565" s="17"/>
      <c r="J565" s="33"/>
      <c r="K565" s="16"/>
      <c r="L565" s="33"/>
      <c r="M565" s="16"/>
    </row>
    <row r="566" spans="1:13" x14ac:dyDescent="0.25">
      <c r="A566" s="62">
        <v>43252</v>
      </c>
      <c r="C566" s="16"/>
      <c r="D566" s="7"/>
      <c r="E566" s="16"/>
      <c r="F566" s="33"/>
      <c r="G566" s="16"/>
      <c r="H566" s="12"/>
      <c r="I566" s="17"/>
      <c r="J566" s="33"/>
      <c r="K566" s="16"/>
      <c r="L566" s="33"/>
      <c r="M566" s="16"/>
    </row>
    <row r="567" spans="1:13" x14ac:dyDescent="0.25">
      <c r="A567" s="62">
        <v>43282</v>
      </c>
      <c r="C567" s="16"/>
      <c r="D567" s="7"/>
      <c r="E567" s="16"/>
      <c r="F567" s="33"/>
      <c r="G567" s="16"/>
      <c r="H567" s="12"/>
      <c r="I567" s="17"/>
      <c r="J567" s="33"/>
      <c r="K567" s="16"/>
      <c r="L567" s="33"/>
      <c r="M567" s="16"/>
    </row>
    <row r="568" spans="1:13" x14ac:dyDescent="0.25">
      <c r="A568" s="62">
        <v>43313</v>
      </c>
      <c r="C568" s="16"/>
      <c r="D568" s="7"/>
      <c r="E568" s="16"/>
      <c r="F568" s="33"/>
      <c r="G568" s="16"/>
      <c r="H568" s="12"/>
      <c r="I568" s="17"/>
      <c r="J568" s="33"/>
      <c r="K568" s="16"/>
      <c r="L568" s="33"/>
      <c r="M568" s="16"/>
    </row>
    <row r="569" spans="1:13" x14ac:dyDescent="0.25">
      <c r="A569" s="62">
        <v>43344</v>
      </c>
      <c r="C569" s="16"/>
      <c r="D569" s="7"/>
      <c r="E569" s="16"/>
      <c r="F569" s="33"/>
      <c r="G569" s="16"/>
      <c r="H569" s="12"/>
      <c r="I569" s="17"/>
      <c r="J569" s="33"/>
      <c r="K569" s="16"/>
      <c r="L569" s="33"/>
      <c r="M569" s="16"/>
    </row>
    <row r="570" spans="1:13" x14ac:dyDescent="0.25">
      <c r="A570" s="62">
        <v>43374</v>
      </c>
      <c r="C570" s="16"/>
      <c r="D570" s="7"/>
      <c r="E570" s="16"/>
      <c r="F570" s="33"/>
      <c r="G570" s="16"/>
      <c r="H570" s="12"/>
      <c r="I570" s="17"/>
      <c r="J570" s="33"/>
      <c r="K570" s="16"/>
      <c r="L570" s="33"/>
      <c r="M570" s="16"/>
    </row>
    <row r="571" spans="1:13" x14ac:dyDescent="0.25">
      <c r="A571" s="62">
        <v>43405</v>
      </c>
      <c r="C571" s="16"/>
      <c r="D571" s="7"/>
      <c r="E571" s="16"/>
      <c r="F571" s="33"/>
      <c r="G571" s="16"/>
      <c r="H571" s="12"/>
      <c r="I571" s="17"/>
      <c r="J571" s="33"/>
      <c r="K571" s="16"/>
      <c r="L571" s="33"/>
      <c r="M571" s="16"/>
    </row>
    <row r="572" spans="1:13" x14ac:dyDescent="0.25">
      <c r="A572" s="62">
        <v>43435</v>
      </c>
      <c r="C572" s="16"/>
      <c r="D572" s="7"/>
      <c r="E572" s="16"/>
      <c r="F572" s="33"/>
      <c r="G572" s="16"/>
      <c r="H572" s="12"/>
      <c r="I572" s="17"/>
      <c r="J572" s="33"/>
      <c r="K572" s="16"/>
      <c r="L572" s="33"/>
      <c r="M572" s="16"/>
    </row>
    <row r="573" spans="1:13" x14ac:dyDescent="0.25">
      <c r="A573" s="62">
        <v>43466</v>
      </c>
      <c r="D573" s="7"/>
      <c r="E573" s="10"/>
      <c r="F573" s="33"/>
      <c r="G573" s="10"/>
      <c r="H573" s="12"/>
      <c r="I573" s="8"/>
      <c r="J573" s="33"/>
      <c r="K573" s="10"/>
      <c r="L573" s="33"/>
      <c r="M573" s="10"/>
    </row>
    <row r="574" spans="1:13" x14ac:dyDescent="0.25">
      <c r="A574" s="62">
        <v>43497</v>
      </c>
      <c r="D574" s="7"/>
      <c r="E574" s="10"/>
      <c r="F574" s="33"/>
      <c r="G574" s="10"/>
      <c r="H574" s="12"/>
      <c r="I574" s="8"/>
      <c r="J574" s="33"/>
      <c r="K574" s="10"/>
      <c r="L574" s="33"/>
      <c r="M574" s="10"/>
    </row>
    <row r="575" spans="1:13" x14ac:dyDescent="0.25">
      <c r="A575" s="62">
        <v>43525</v>
      </c>
      <c r="D575" s="7"/>
      <c r="E575" s="10"/>
      <c r="F575" s="33"/>
      <c r="G575" s="10"/>
      <c r="H575" s="12"/>
      <c r="I575" s="8"/>
      <c r="J575" s="33"/>
      <c r="K575" s="10"/>
      <c r="L575" s="33"/>
      <c r="M575" s="10"/>
    </row>
    <row r="576" spans="1:13" x14ac:dyDescent="0.25">
      <c r="A576" s="62">
        <v>43556</v>
      </c>
      <c r="D576" s="7"/>
      <c r="E576" s="10"/>
      <c r="F576" s="33"/>
      <c r="G576" s="10"/>
      <c r="H576" s="12"/>
      <c r="I576" s="8"/>
      <c r="J576" s="33"/>
      <c r="K576" s="10"/>
      <c r="L576" s="33"/>
      <c r="M576" s="10"/>
    </row>
    <row r="577" spans="1:13" x14ac:dyDescent="0.25">
      <c r="A577" s="62">
        <v>43586</v>
      </c>
      <c r="D577" s="7"/>
      <c r="E577" s="10"/>
      <c r="F577" s="33"/>
      <c r="G577" s="10"/>
      <c r="H577" s="12"/>
      <c r="I577" s="8"/>
      <c r="J577" s="33"/>
      <c r="K577" s="10"/>
      <c r="L577" s="33"/>
      <c r="M577" s="10"/>
    </row>
    <row r="578" spans="1:13" x14ac:dyDescent="0.25">
      <c r="A578" s="62">
        <v>43617</v>
      </c>
      <c r="D578" s="7"/>
      <c r="E578" s="10"/>
      <c r="F578" s="33"/>
      <c r="G578" s="10"/>
      <c r="H578" s="12"/>
      <c r="I578" s="8"/>
      <c r="J578" s="33"/>
      <c r="K578" s="10"/>
      <c r="L578" s="33"/>
      <c r="M578" s="10"/>
    </row>
    <row r="579" spans="1:13" x14ac:dyDescent="0.25">
      <c r="A579" s="62">
        <v>43647</v>
      </c>
      <c r="D579" s="7"/>
      <c r="E579" s="10"/>
      <c r="F579" s="33"/>
      <c r="G579" s="10"/>
      <c r="H579" s="82"/>
      <c r="I579" s="83"/>
      <c r="J579" s="64"/>
      <c r="K579" s="89"/>
      <c r="L579" s="64"/>
      <c r="M579" s="89"/>
    </row>
    <row r="580" spans="1:13" x14ac:dyDescent="0.25">
      <c r="A580" s="62">
        <v>43678</v>
      </c>
      <c r="B580" s="64"/>
      <c r="D580" s="64"/>
      <c r="E580" s="10"/>
      <c r="F580" s="64"/>
      <c r="G580" s="10"/>
      <c r="H580" s="64"/>
      <c r="I580" s="83"/>
      <c r="J580" s="64"/>
      <c r="K580" s="89"/>
      <c r="L580" s="64"/>
      <c r="M580" s="89"/>
    </row>
    <row r="581" spans="1:13" x14ac:dyDescent="0.25">
      <c r="A581" s="62">
        <v>43709</v>
      </c>
      <c r="B581" s="76"/>
      <c r="C581" s="16"/>
      <c r="D581" s="77"/>
      <c r="E581" s="16"/>
      <c r="F581" s="76"/>
      <c r="G581" s="16"/>
      <c r="H581" s="76"/>
      <c r="I581" s="17"/>
      <c r="J581" s="64"/>
      <c r="K581" s="16"/>
      <c r="L581" s="90"/>
      <c r="M581" s="16"/>
    </row>
    <row r="582" spans="1:13" x14ac:dyDescent="0.25">
      <c r="A582" s="65">
        <v>43739</v>
      </c>
      <c r="C582" s="16"/>
      <c r="D582" s="7"/>
      <c r="E582" s="16"/>
      <c r="F582" s="33"/>
      <c r="G582" s="16"/>
      <c r="H582" s="82"/>
      <c r="I582" s="17"/>
      <c r="J582" s="64"/>
      <c r="K582" s="16"/>
      <c r="L582" s="64"/>
      <c r="M582" s="16"/>
    </row>
    <row r="583" spans="1:13" ht="15" x14ac:dyDescent="0.25">
      <c r="A583" s="65">
        <v>43770</v>
      </c>
      <c r="B583" s="66"/>
      <c r="C583" s="16"/>
      <c r="D583" s="66"/>
      <c r="E583" s="16"/>
      <c r="F583" s="66"/>
      <c r="G583" s="16"/>
      <c r="H583" s="66"/>
      <c r="I583" s="17"/>
      <c r="J583" s="66"/>
      <c r="K583" s="16"/>
      <c r="L583" s="66"/>
      <c r="M583" s="16"/>
    </row>
    <row r="584" spans="1:13" x14ac:dyDescent="0.25">
      <c r="A584" s="65">
        <v>43800</v>
      </c>
      <c r="C584" s="16"/>
      <c r="D584" s="7"/>
      <c r="E584" s="16"/>
      <c r="F584" s="33"/>
      <c r="G584" s="16"/>
      <c r="H584" s="82"/>
      <c r="I584" s="17"/>
      <c r="J584" s="64"/>
      <c r="K584" s="16"/>
      <c r="L584" s="64"/>
      <c r="M584" s="16"/>
    </row>
    <row r="585" spans="1:13" ht="15" x14ac:dyDescent="0.25">
      <c r="A585" s="65">
        <v>43831</v>
      </c>
      <c r="B585" s="67"/>
      <c r="C585" s="16"/>
      <c r="D585" s="77"/>
      <c r="E585" s="16"/>
      <c r="F585" s="77"/>
      <c r="G585" s="16"/>
      <c r="H585" s="77"/>
      <c r="I585" s="16"/>
      <c r="J585" s="64"/>
      <c r="K585" s="16"/>
      <c r="L585" s="64"/>
      <c r="M585" s="16"/>
    </row>
    <row r="586" spans="1:13" ht="15" x14ac:dyDescent="0.25">
      <c r="A586" s="65">
        <v>43862</v>
      </c>
      <c r="B586" s="68"/>
      <c r="C586" s="16"/>
      <c r="D586" s="68"/>
      <c r="E586" s="16"/>
      <c r="F586" s="68"/>
      <c r="G586" s="16"/>
      <c r="H586" s="68"/>
      <c r="I586" s="16"/>
      <c r="J586" s="68"/>
      <c r="K586" s="16"/>
      <c r="L586" s="68"/>
      <c r="M586" s="16"/>
    </row>
    <row r="587" spans="1:13" ht="15" x14ac:dyDescent="0.25">
      <c r="A587" s="65">
        <v>43891</v>
      </c>
      <c r="B587" s="67"/>
      <c r="C587" s="16"/>
      <c r="D587" s="67"/>
      <c r="E587" s="16"/>
      <c r="F587" s="67"/>
      <c r="G587" s="16"/>
      <c r="H587" s="82"/>
      <c r="I587" s="16"/>
      <c r="J587" s="69"/>
      <c r="K587" s="16"/>
      <c r="L587" s="69"/>
      <c r="M587" s="16"/>
    </row>
    <row r="588" spans="1:13" ht="15" x14ac:dyDescent="0.25">
      <c r="A588" s="65">
        <v>43922</v>
      </c>
      <c r="B588" s="70"/>
      <c r="C588" s="16"/>
      <c r="D588" s="70"/>
      <c r="E588" s="16"/>
      <c r="F588" s="70"/>
      <c r="G588" s="16"/>
      <c r="H588" s="70"/>
      <c r="I588" s="16"/>
      <c r="J588" s="66"/>
      <c r="K588" s="16"/>
      <c r="L588" s="66"/>
      <c r="M588" s="16"/>
    </row>
    <row r="589" spans="1:13" ht="15" x14ac:dyDescent="0.25">
      <c r="A589" s="65">
        <v>43952</v>
      </c>
      <c r="B589" s="66"/>
      <c r="C589" s="16"/>
      <c r="D589" s="66"/>
      <c r="E589" s="16"/>
      <c r="F589" s="66"/>
      <c r="G589" s="16"/>
      <c r="H589" s="66"/>
      <c r="I589" s="16"/>
      <c r="J589" s="66"/>
      <c r="K589" s="16"/>
      <c r="L589" s="66"/>
      <c r="M589" s="16"/>
    </row>
    <row r="590" spans="1:13" ht="15" x14ac:dyDescent="0.25">
      <c r="A590" s="65">
        <v>43983</v>
      </c>
      <c r="B590" s="70"/>
      <c r="C590" s="16"/>
      <c r="D590" s="70"/>
      <c r="E590" s="16"/>
      <c r="F590" s="70"/>
      <c r="G590" s="16"/>
      <c r="H590" s="70"/>
      <c r="I590" s="16"/>
      <c r="J590" s="66"/>
      <c r="K590" s="16"/>
      <c r="L590" s="66"/>
      <c r="M590" s="16"/>
    </row>
    <row r="591" spans="1:13" ht="15" x14ac:dyDescent="0.25">
      <c r="A591" s="65">
        <v>44013</v>
      </c>
      <c r="B591" s="66"/>
      <c r="C591" s="16"/>
      <c r="D591" s="66"/>
      <c r="E591" s="16"/>
      <c r="F591" s="66"/>
      <c r="G591" s="16"/>
      <c r="H591" s="66"/>
      <c r="I591" s="16"/>
      <c r="J591" s="66"/>
      <c r="K591" s="16"/>
      <c r="L591" s="66"/>
      <c r="M591" s="16"/>
    </row>
    <row r="592" spans="1:13" ht="15" x14ac:dyDescent="0.25">
      <c r="A592" s="65">
        <v>44044</v>
      </c>
      <c r="B592" s="66"/>
      <c r="C592" s="16"/>
      <c r="D592" s="66"/>
      <c r="E592" s="16"/>
      <c r="F592" s="66"/>
      <c r="G592" s="16"/>
      <c r="H592" s="66"/>
      <c r="I592" s="16"/>
      <c r="J592" s="66"/>
      <c r="K592" s="16"/>
      <c r="L592" s="66"/>
      <c r="M592" s="16"/>
    </row>
    <row r="593" spans="1:13" ht="15" x14ac:dyDescent="0.25">
      <c r="A593" s="65">
        <v>44075</v>
      </c>
      <c r="B593" s="67"/>
      <c r="C593" s="16"/>
      <c r="D593" s="66"/>
      <c r="E593" s="16"/>
      <c r="F593" s="66"/>
      <c r="G593" s="16"/>
      <c r="H593" s="66"/>
      <c r="I593" s="16"/>
      <c r="J593" s="67"/>
      <c r="K593" s="16"/>
      <c r="L593" s="67"/>
      <c r="M593" s="16"/>
    </row>
    <row r="594" spans="1:13" ht="15" x14ac:dyDescent="0.25">
      <c r="A594" s="65">
        <v>44105</v>
      </c>
      <c r="B594" s="67"/>
      <c r="C594" s="16"/>
      <c r="D594" s="66"/>
      <c r="E594" s="16"/>
      <c r="F594" s="67"/>
      <c r="G594" s="16"/>
      <c r="H594" s="66"/>
      <c r="I594" s="16"/>
      <c r="J594" s="67"/>
      <c r="K594" s="16"/>
      <c r="L594" s="67"/>
      <c r="M594" s="16"/>
    </row>
    <row r="595" spans="1:13" ht="15" x14ac:dyDescent="0.25">
      <c r="A595" s="65">
        <v>44136</v>
      </c>
      <c r="B595" s="66"/>
      <c r="C595" s="16"/>
      <c r="D595" s="66"/>
      <c r="E595" s="16"/>
      <c r="F595" s="67"/>
      <c r="G595" s="16"/>
      <c r="H595" s="66"/>
      <c r="I595" s="16"/>
      <c r="J595" s="66"/>
      <c r="K595" s="16"/>
      <c r="L595" s="66"/>
      <c r="M595" s="16"/>
    </row>
    <row r="596" spans="1:13" ht="15" x14ac:dyDescent="0.25">
      <c r="A596" s="65">
        <v>44166</v>
      </c>
      <c r="B596" s="67"/>
      <c r="C596" s="16"/>
      <c r="D596" s="66"/>
      <c r="E596" s="16"/>
      <c r="F596" s="67"/>
      <c r="G596" s="16"/>
      <c r="H596" s="66"/>
      <c r="I596" s="16"/>
      <c r="J596" s="67"/>
      <c r="K596" s="16"/>
      <c r="L596" s="67"/>
      <c r="M596" s="16"/>
    </row>
    <row r="597" spans="1:13" ht="15" x14ac:dyDescent="0.25">
      <c r="A597" s="65">
        <v>44197</v>
      </c>
      <c r="B597" s="67"/>
      <c r="C597" s="16"/>
      <c r="D597" s="66"/>
      <c r="E597" s="16"/>
      <c r="F597" s="66"/>
      <c r="G597" s="16"/>
      <c r="H597" s="66"/>
      <c r="I597" s="16"/>
      <c r="J597" s="67"/>
      <c r="K597" s="16"/>
      <c r="L597" s="67"/>
      <c r="M597" s="16"/>
    </row>
    <row r="598" spans="1:13" ht="15" x14ac:dyDescent="0.25">
      <c r="A598" s="65">
        <v>44228</v>
      </c>
      <c r="B598" s="66"/>
      <c r="C598" s="16"/>
      <c r="D598" s="66"/>
      <c r="E598" s="16"/>
      <c r="F598" s="66"/>
      <c r="G598" s="16"/>
      <c r="H598" s="66"/>
      <c r="I598" s="16"/>
      <c r="J598" s="66"/>
      <c r="K598" s="16"/>
      <c r="L598" s="66"/>
      <c r="M598" s="16"/>
    </row>
    <row r="599" spans="1:13" ht="15" x14ac:dyDescent="0.25">
      <c r="A599" s="65">
        <v>44256</v>
      </c>
      <c r="B599" s="67"/>
      <c r="C599" s="16"/>
      <c r="D599" s="66"/>
      <c r="E599" s="16"/>
      <c r="F599" s="67"/>
      <c r="G599" s="16"/>
      <c r="H599" s="66"/>
      <c r="I599" s="16"/>
      <c r="J599" s="67"/>
      <c r="K599" s="16"/>
      <c r="L599" s="67"/>
      <c r="M599" s="16"/>
    </row>
    <row r="600" spans="1:13" ht="15" x14ac:dyDescent="0.25">
      <c r="A600" s="65">
        <v>44287</v>
      </c>
      <c r="B600" s="67"/>
      <c r="C600" s="16"/>
      <c r="D600" s="66"/>
      <c r="E600" s="16"/>
      <c r="F600" s="67"/>
      <c r="G600" s="16"/>
      <c r="H600" s="66"/>
      <c r="I600" s="16"/>
      <c r="J600" s="67"/>
      <c r="K600" s="16"/>
      <c r="L600" s="67"/>
      <c r="M600" s="16"/>
    </row>
    <row r="601" spans="1:13" ht="15" x14ac:dyDescent="0.25">
      <c r="A601" s="65">
        <v>44317</v>
      </c>
      <c r="B601" s="66"/>
      <c r="C601" s="16"/>
      <c r="D601" s="66"/>
      <c r="E601" s="16"/>
      <c r="F601" s="66"/>
      <c r="G601" s="16"/>
      <c r="H601" s="66"/>
      <c r="I601" s="16"/>
      <c r="J601" s="66"/>
      <c r="K601" s="16"/>
      <c r="L601" s="66"/>
      <c r="M601" s="16"/>
    </row>
    <row r="602" spans="1:13" ht="15" x14ac:dyDescent="0.25">
      <c r="A602" s="65">
        <v>44348</v>
      </c>
      <c r="B602" s="67"/>
      <c r="C602" s="16"/>
      <c r="D602" s="66"/>
      <c r="E602" s="16"/>
      <c r="F602" s="67"/>
      <c r="G602" s="16"/>
      <c r="H602" s="66"/>
      <c r="I602" s="16"/>
      <c r="J602" s="67"/>
      <c r="K602" s="16"/>
      <c r="L602" s="67"/>
      <c r="M602" s="16"/>
    </row>
    <row r="603" spans="1:13" ht="15" x14ac:dyDescent="0.25">
      <c r="A603" s="65">
        <v>44378</v>
      </c>
      <c r="B603" s="66"/>
      <c r="C603" s="16"/>
      <c r="D603" s="66"/>
      <c r="E603" s="16"/>
      <c r="F603" s="66"/>
      <c r="G603" s="16"/>
      <c r="H603" s="66"/>
      <c r="I603" s="16"/>
      <c r="J603" s="66"/>
      <c r="K603" s="16"/>
      <c r="L603" s="66"/>
      <c r="M603" s="16"/>
    </row>
    <row r="604" spans="1:13" ht="15" x14ac:dyDescent="0.25">
      <c r="A604" s="65">
        <v>44409</v>
      </c>
      <c r="B604" s="66"/>
      <c r="C604" s="16"/>
      <c r="D604" s="66"/>
      <c r="E604" s="16"/>
      <c r="F604" s="66"/>
      <c r="G604" s="16"/>
      <c r="H604" s="66"/>
      <c r="I604" s="16"/>
      <c r="J604" s="66"/>
      <c r="K604" s="16"/>
      <c r="L604" s="66"/>
      <c r="M604" s="16"/>
    </row>
    <row r="605" spans="1:13" ht="15" x14ac:dyDescent="0.25">
      <c r="A605" s="65">
        <v>44440</v>
      </c>
      <c r="B605" s="71"/>
      <c r="C605" s="72"/>
      <c r="D605" s="71"/>
      <c r="E605" s="72"/>
      <c r="F605" s="79"/>
      <c r="G605" s="72"/>
      <c r="H605" s="82"/>
      <c r="I605" s="67"/>
      <c r="J605" s="64"/>
      <c r="K605" s="89"/>
      <c r="L605" s="64"/>
      <c r="M605" s="89"/>
    </row>
    <row r="606" spans="1:13" ht="15" x14ac:dyDescent="0.25">
      <c r="A606" s="65">
        <v>44470</v>
      </c>
      <c r="B606" s="71"/>
      <c r="C606" s="72"/>
      <c r="D606" s="71"/>
      <c r="E606" s="72"/>
      <c r="F606" s="79"/>
      <c r="G606" s="72"/>
      <c r="H606" s="82"/>
      <c r="I606" s="67"/>
      <c r="J606" s="64"/>
      <c r="K606" s="89"/>
      <c r="L606" s="64"/>
      <c r="M606" s="89"/>
    </row>
    <row r="607" spans="1:13" x14ac:dyDescent="0.25">
      <c r="A607" s="65">
        <v>44501</v>
      </c>
      <c r="D607" s="7"/>
      <c r="E607" s="10"/>
      <c r="F607" s="33"/>
      <c r="G607" s="10"/>
      <c r="H607" s="82"/>
      <c r="I607" s="67"/>
      <c r="J607" s="64"/>
      <c r="K607" s="89"/>
      <c r="L607" s="64"/>
      <c r="M607" s="89"/>
    </row>
    <row r="608" spans="1:13" x14ac:dyDescent="0.25">
      <c r="A608" s="65">
        <v>44531</v>
      </c>
      <c r="D608" s="7"/>
      <c r="E608" s="10"/>
      <c r="F608" s="33"/>
      <c r="G608" s="10"/>
      <c r="H608" s="82"/>
      <c r="I608" s="67"/>
      <c r="J608" s="64"/>
      <c r="K608" s="89"/>
      <c r="L608" s="64"/>
      <c r="M608" s="89"/>
    </row>
    <row r="609" spans="1:13" x14ac:dyDescent="0.25">
      <c r="A609" s="65">
        <v>44562</v>
      </c>
      <c r="D609" s="7"/>
      <c r="E609" s="74"/>
      <c r="F609" s="33"/>
      <c r="G609" s="10"/>
      <c r="H609" s="82"/>
      <c r="I609" s="84"/>
      <c r="J609" s="64"/>
      <c r="K609" s="89"/>
      <c r="L609" s="64"/>
      <c r="M609" s="89"/>
    </row>
    <row r="610" spans="1:13" x14ac:dyDescent="0.25">
      <c r="A610" s="65">
        <v>44593</v>
      </c>
      <c r="D610" s="7"/>
      <c r="E610" s="74"/>
      <c r="F610" s="33"/>
      <c r="G610" s="10"/>
      <c r="H610" s="82"/>
      <c r="I610" s="84"/>
      <c r="J610" s="64"/>
      <c r="K610" s="89"/>
      <c r="L610" s="64"/>
      <c r="M610" s="89"/>
    </row>
    <row r="611" spans="1:13" x14ac:dyDescent="0.25">
      <c r="A611" s="65">
        <v>44621</v>
      </c>
      <c r="D611" s="7"/>
      <c r="E611" s="74"/>
      <c r="F611" s="33"/>
      <c r="G611" s="10"/>
      <c r="H611" s="82"/>
      <c r="I611" s="84"/>
      <c r="J611" s="64"/>
      <c r="K611" s="89"/>
      <c r="L611" s="64"/>
      <c r="M611" s="89"/>
    </row>
    <row r="612" spans="1:13" x14ac:dyDescent="0.25">
      <c r="A612" s="65">
        <v>44652</v>
      </c>
      <c r="D612" s="7"/>
      <c r="E612" s="74"/>
      <c r="F612" s="33"/>
      <c r="G612" s="10"/>
      <c r="H612" s="82"/>
      <c r="I612" s="84"/>
      <c r="J612" s="64"/>
      <c r="K612" s="89"/>
      <c r="L612" s="64"/>
      <c r="M612" s="89"/>
    </row>
    <row r="613" spans="1:13" x14ac:dyDescent="0.25">
      <c r="A613" s="65">
        <v>44682</v>
      </c>
      <c r="D613" s="7"/>
      <c r="E613" s="74"/>
      <c r="F613" s="33"/>
      <c r="G613" s="10"/>
      <c r="H613" s="82"/>
      <c r="I613" s="84"/>
      <c r="J613" s="64"/>
      <c r="K613" s="89"/>
      <c r="L613" s="64"/>
      <c r="M613" s="89"/>
    </row>
    <row r="614" spans="1:13" x14ac:dyDescent="0.25">
      <c r="A614" s="65">
        <v>44713</v>
      </c>
      <c r="D614" s="7"/>
      <c r="E614" s="74"/>
      <c r="F614" s="33"/>
      <c r="G614" s="10"/>
      <c r="H614" s="82"/>
      <c r="I614" s="84"/>
      <c r="J614" s="64"/>
      <c r="K614" s="89"/>
      <c r="L614" s="64"/>
      <c r="M614" s="89"/>
    </row>
    <row r="615" spans="1:13" x14ac:dyDescent="0.25">
      <c r="A615" s="65">
        <v>44743</v>
      </c>
      <c r="D615" s="7"/>
      <c r="E615" s="74"/>
      <c r="F615" s="33"/>
      <c r="G615" s="10"/>
      <c r="H615" s="82"/>
      <c r="I615" s="84"/>
      <c r="J615" s="64"/>
      <c r="K615" s="89"/>
      <c r="L615" s="64"/>
      <c r="M615" s="89"/>
    </row>
    <row r="616" spans="1:13" x14ac:dyDescent="0.25">
      <c r="A616" s="65">
        <v>44774</v>
      </c>
      <c r="D616" s="7"/>
      <c r="E616" s="74"/>
      <c r="F616" s="33"/>
      <c r="G616" s="10"/>
      <c r="H616" s="82"/>
      <c r="I616" s="84"/>
      <c r="J616" s="64"/>
      <c r="K616" s="89"/>
      <c r="L616" s="64"/>
      <c r="M616" s="89"/>
    </row>
    <row r="617" spans="1:13" x14ac:dyDescent="0.25">
      <c r="A617" s="65">
        <v>44805</v>
      </c>
      <c r="D617" s="7"/>
      <c r="E617" s="74"/>
      <c r="F617" s="33"/>
      <c r="G617" s="10"/>
      <c r="H617" s="82"/>
      <c r="I617" s="84"/>
      <c r="J617" s="64"/>
      <c r="K617" s="89"/>
      <c r="L617" s="64"/>
      <c r="M617" s="89"/>
    </row>
    <row r="618" spans="1:13" x14ac:dyDescent="0.25">
      <c r="A618" s="65">
        <v>44835</v>
      </c>
      <c r="D618" s="7"/>
      <c r="E618" s="74"/>
      <c r="F618" s="33"/>
      <c r="G618" s="10"/>
      <c r="H618" s="82"/>
      <c r="I618" s="84"/>
      <c r="J618" s="64"/>
      <c r="K618" s="89"/>
      <c r="L618" s="64"/>
      <c r="M618" s="89"/>
    </row>
    <row r="619" spans="1:13" x14ac:dyDescent="0.25">
      <c r="A619" s="65">
        <v>44866</v>
      </c>
      <c r="D619" s="7"/>
      <c r="E619" s="74"/>
      <c r="F619" s="33"/>
      <c r="G619" s="10"/>
      <c r="H619" s="82"/>
      <c r="I619" s="84"/>
      <c r="J619" s="64"/>
      <c r="K619" s="89"/>
      <c r="L619" s="64"/>
      <c r="M619" s="89"/>
    </row>
    <row r="620" spans="1:13" x14ac:dyDescent="0.25">
      <c r="A620" s="73">
        <v>44896</v>
      </c>
      <c r="B620" s="34"/>
      <c r="D620" s="34"/>
      <c r="E620" s="74"/>
      <c r="F620" s="80"/>
      <c r="G620" s="10"/>
      <c r="H620" s="82"/>
      <c r="I620" s="84"/>
      <c r="J620" s="64"/>
      <c r="K620" s="89"/>
      <c r="L620" s="64"/>
      <c r="M620" s="89"/>
    </row>
    <row r="621" spans="1:13" x14ac:dyDescent="0.25">
      <c r="A621" s="65">
        <v>44927</v>
      </c>
      <c r="D621" s="7"/>
      <c r="E621" s="74"/>
      <c r="F621" s="33"/>
      <c r="G621" s="10"/>
      <c r="H621" s="82"/>
      <c r="I621" s="84"/>
      <c r="J621" s="64"/>
      <c r="K621" s="89"/>
      <c r="L621" s="64"/>
      <c r="M621" s="89"/>
    </row>
    <row r="622" spans="1:13" x14ac:dyDescent="0.25">
      <c r="A622" s="65">
        <v>44958</v>
      </c>
      <c r="D622" s="7"/>
      <c r="E622" s="74"/>
      <c r="F622" s="33"/>
      <c r="G622" s="10"/>
      <c r="H622" s="82"/>
      <c r="I622" s="84"/>
      <c r="J622" s="91"/>
      <c r="K622" s="92"/>
      <c r="L622" s="91"/>
      <c r="M622" s="92"/>
    </row>
    <row r="623" spans="1:13" x14ac:dyDescent="0.25">
      <c r="A623" s="65">
        <v>44986</v>
      </c>
      <c r="D623" s="7"/>
      <c r="E623" s="74"/>
      <c r="F623" s="33"/>
      <c r="G623" s="10"/>
      <c r="H623" s="82"/>
      <c r="I623" s="84"/>
      <c r="J623" s="64"/>
      <c r="K623" s="89"/>
      <c r="L623" s="64"/>
      <c r="M623" s="89"/>
    </row>
    <row r="624" spans="1:13" x14ac:dyDescent="0.25">
      <c r="A624" s="65">
        <v>45017</v>
      </c>
      <c r="D624" s="7"/>
      <c r="E624" s="74"/>
      <c r="F624" s="33"/>
      <c r="G624" s="10"/>
      <c r="H624" s="82"/>
      <c r="I624" s="84"/>
      <c r="J624" s="64"/>
      <c r="K624" s="89"/>
      <c r="L624" s="64"/>
      <c r="M624" s="89"/>
    </row>
    <row r="625" spans="1:13" x14ac:dyDescent="0.25">
      <c r="A625" s="65">
        <v>45047</v>
      </c>
      <c r="D625" s="7"/>
      <c r="E625" s="74"/>
      <c r="F625" s="33"/>
      <c r="G625" s="10"/>
      <c r="H625" s="82"/>
      <c r="I625" s="84"/>
      <c r="J625" s="64"/>
      <c r="K625" s="89"/>
      <c r="L625" s="64"/>
      <c r="M625" s="89"/>
    </row>
    <row r="626" spans="1:13" x14ac:dyDescent="0.25">
      <c r="A626" s="65">
        <v>45078</v>
      </c>
      <c r="D626" s="7"/>
      <c r="E626" s="74"/>
      <c r="F626" s="33"/>
      <c r="G626" s="10"/>
      <c r="H626" s="82"/>
      <c r="I626" s="84"/>
      <c r="J626" s="64"/>
      <c r="K626" s="89"/>
      <c r="L626" s="64"/>
      <c r="M626" s="89"/>
    </row>
    <row r="627" spans="1:13" x14ac:dyDescent="0.25">
      <c r="A627" s="65">
        <v>45108</v>
      </c>
      <c r="D627" s="7"/>
      <c r="E627" s="74"/>
      <c r="F627" s="33"/>
      <c r="G627" s="10"/>
      <c r="H627" s="82"/>
      <c r="I627" s="84"/>
      <c r="J627" s="64"/>
      <c r="K627" s="89"/>
      <c r="L627" s="64"/>
      <c r="M627" s="89"/>
    </row>
    <row r="628" spans="1:13" x14ac:dyDescent="0.25">
      <c r="A628" s="65">
        <v>45139</v>
      </c>
      <c r="D628" s="7"/>
      <c r="E628" s="74"/>
      <c r="F628" s="33"/>
      <c r="G628" s="10"/>
      <c r="H628" s="82"/>
      <c r="I628" s="84"/>
      <c r="J628" s="64"/>
      <c r="K628" s="89"/>
      <c r="L628" s="64"/>
      <c r="M628" s="89"/>
    </row>
    <row r="629" spans="1:13" x14ac:dyDescent="0.25">
      <c r="A629" s="65">
        <v>45170</v>
      </c>
      <c r="D629" s="7"/>
      <c r="E629" s="74"/>
      <c r="F629" s="33"/>
      <c r="G629" s="10"/>
      <c r="H629" s="82"/>
      <c r="I629" s="84"/>
      <c r="J629" s="64"/>
      <c r="K629" s="89"/>
      <c r="L629" s="64"/>
      <c r="M629" s="89"/>
    </row>
    <row r="630" spans="1:13" x14ac:dyDescent="0.25">
      <c r="A630" s="65">
        <v>45200</v>
      </c>
      <c r="D630" s="7"/>
      <c r="E630" s="74"/>
      <c r="F630" s="33"/>
      <c r="G630" s="10"/>
      <c r="H630" s="82"/>
      <c r="I630" s="84"/>
      <c r="J630" s="64"/>
      <c r="K630" s="89"/>
      <c r="L630" s="64"/>
      <c r="M630" s="89"/>
    </row>
    <row r="631" spans="1:13" x14ac:dyDescent="0.25">
      <c r="A631" s="65">
        <v>45231</v>
      </c>
      <c r="C631" s="74"/>
      <c r="D631" s="7"/>
      <c r="E631" s="74"/>
      <c r="F631" s="33"/>
      <c r="G631" s="10"/>
      <c r="H631" s="82"/>
      <c r="I631" s="84"/>
      <c r="J631" s="64"/>
      <c r="K631" s="89"/>
      <c r="L631" s="64"/>
      <c r="M631" s="89"/>
    </row>
    <row r="632" spans="1:13" x14ac:dyDescent="0.25">
      <c r="A632" s="65">
        <v>45261</v>
      </c>
      <c r="D632" s="7"/>
      <c r="E632" s="10"/>
      <c r="F632" s="33"/>
      <c r="G632" s="10"/>
      <c r="H632" s="82"/>
      <c r="I632" s="84"/>
      <c r="J632" s="64"/>
      <c r="K632" s="89"/>
      <c r="L632" s="64"/>
      <c r="M632" s="89"/>
    </row>
    <row r="633" spans="1:13" x14ac:dyDescent="0.25">
      <c r="D633" s="7"/>
      <c r="E633" s="10"/>
    </row>
    <row r="634" spans="1:13" x14ac:dyDescent="0.25">
      <c r="D634" s="7"/>
      <c r="E634" s="10"/>
    </row>
    <row r="635" spans="1:13" x14ac:dyDescent="0.25">
      <c r="D635" s="7"/>
      <c r="E635" s="10"/>
    </row>
    <row r="636" spans="1:13" x14ac:dyDescent="0.25">
      <c r="D636" s="7"/>
      <c r="E636" s="10"/>
    </row>
    <row r="637" spans="1:13" x14ac:dyDescent="0.25">
      <c r="D637" s="7"/>
      <c r="E637" s="10"/>
    </row>
    <row r="638" spans="1:13" x14ac:dyDescent="0.25">
      <c r="D638" s="7"/>
      <c r="E638" s="10"/>
    </row>
    <row r="639" spans="1:13" x14ac:dyDescent="0.25">
      <c r="D639" s="7"/>
      <c r="E639" s="10"/>
    </row>
    <row r="640" spans="1:13" x14ac:dyDescent="0.25">
      <c r="D640" s="7"/>
      <c r="E640" s="10"/>
    </row>
    <row r="641" spans="4:5" x14ac:dyDescent="0.25">
      <c r="D641" s="7"/>
      <c r="E641" s="10"/>
    </row>
    <row r="642" spans="4:5" x14ac:dyDescent="0.25">
      <c r="D642" s="7"/>
      <c r="E642" s="10"/>
    </row>
    <row r="643" spans="4:5" x14ac:dyDescent="0.25">
      <c r="D643" s="7"/>
      <c r="E643" s="10"/>
    </row>
    <row r="644" spans="4:5" x14ac:dyDescent="0.25">
      <c r="D644" s="7"/>
      <c r="E644" s="10"/>
    </row>
  </sheetData>
  <mergeCells count="6">
    <mergeCell ref="L2:M2"/>
    <mergeCell ref="B2:C2"/>
    <mergeCell ref="D2:E2"/>
    <mergeCell ref="F2:G2"/>
    <mergeCell ref="H2:I2"/>
    <mergeCell ref="J2:K2"/>
  </mergeCells>
  <conditionalFormatting sqref="L257:L259 L262 L301 L304 J313 J316 L334 J343 J346 J349 J352 J355 J358 J361 J364 J367 L394 L397 L404 J466 L466 J469 L469">
    <cfRule type="cellIs" priority="1" stopIfTrue="1" operator="equal">
      <formula>"ns"</formula>
    </cfRule>
    <cfRule type="cellIs" dxfId="8" priority="2" stopIfTrue="1" operator="between">
      <formula>250</formula>
      <formula>500</formula>
    </cfRule>
    <cfRule type="cellIs" dxfId="7" priority="3" stopIfTrue="1" operator="greaterThanOrEqual">
      <formula>500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0C5-9E36-419B-830A-0ABD4146C9E2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0F44A-F0AB-4D92-A1CE-2C23BF06667B}">
  <dimension ref="A1:D3"/>
  <sheetViews>
    <sheetView tabSelected="1" workbookViewId="0"/>
  </sheetViews>
  <sheetFormatPr defaultRowHeight="15" x14ac:dyDescent="0.25"/>
  <cols>
    <col min="1" max="1" width="9.42578125" bestFit="1" customWidth="1"/>
    <col min="3" max="3" width="16.7109375" bestFit="1" customWidth="1"/>
    <col min="4" max="4" width="58.7109375" bestFit="1" customWidth="1"/>
  </cols>
  <sheetData>
    <row r="1" spans="1:4" x14ac:dyDescent="0.25">
      <c r="A1" t="s">
        <v>25</v>
      </c>
      <c r="B1" t="s">
        <v>26</v>
      </c>
      <c r="C1" t="s">
        <v>30</v>
      </c>
      <c r="D1" t="s">
        <v>28</v>
      </c>
    </row>
    <row r="2" spans="1:4" ht="15.75" x14ac:dyDescent="0.25">
      <c r="A2" s="39">
        <v>40756</v>
      </c>
      <c r="B2" s="2" t="s">
        <v>11</v>
      </c>
      <c r="C2">
        <v>4444</v>
      </c>
      <c r="D2" t="s">
        <v>29</v>
      </c>
    </row>
    <row r="3" spans="1:4" ht="15.75" x14ac:dyDescent="0.25">
      <c r="A3" s="39">
        <v>40756</v>
      </c>
      <c r="B3" s="24" t="s">
        <v>17</v>
      </c>
      <c r="C3">
        <v>770.3</v>
      </c>
      <c r="D3" t="s"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5233-2675-474D-8F8E-6E06F1EC2DCB}">
  <dimension ref="A1:R287"/>
  <sheetViews>
    <sheetView workbookViewId="0">
      <selection activeCell="A135" sqref="A135"/>
    </sheetView>
  </sheetViews>
  <sheetFormatPr defaultRowHeight="15" x14ac:dyDescent="0.25"/>
  <cols>
    <col min="1" max="1" width="12.7109375" bestFit="1" customWidth="1"/>
    <col min="2" max="2" width="7.42578125" customWidth="1"/>
    <col min="3" max="3" width="7.42578125" bestFit="1" customWidth="1"/>
    <col min="4" max="4" width="8.7109375" bestFit="1" customWidth="1"/>
    <col min="5" max="5" width="7.42578125" bestFit="1" customWidth="1"/>
  </cols>
  <sheetData>
    <row r="1" spans="1:5" ht="15.75" x14ac:dyDescent="0.25">
      <c r="A1" s="36"/>
      <c r="B1" s="118" t="s">
        <v>3</v>
      </c>
      <c r="C1" s="119"/>
      <c r="D1" s="120" t="s">
        <v>4</v>
      </c>
      <c r="E1" s="122"/>
    </row>
    <row r="2" spans="1:5" ht="15.75" x14ac:dyDescent="0.25">
      <c r="A2" s="37" t="s">
        <v>5</v>
      </c>
      <c r="B2" s="2" t="s">
        <v>11</v>
      </c>
      <c r="C2" s="2" t="s">
        <v>12</v>
      </c>
      <c r="D2" s="24" t="s">
        <v>16</v>
      </c>
      <c r="E2" s="24" t="s">
        <v>17</v>
      </c>
    </row>
    <row r="3" spans="1:5" ht="31.5" x14ac:dyDescent="0.25">
      <c r="A3" s="36"/>
      <c r="B3" s="28" t="s">
        <v>22</v>
      </c>
      <c r="C3" s="28" t="s">
        <v>22</v>
      </c>
      <c r="D3" s="30" t="s">
        <v>22</v>
      </c>
      <c r="E3" s="30" t="s">
        <v>22</v>
      </c>
    </row>
    <row r="4" spans="1:5" ht="15.75" x14ac:dyDescent="0.25">
      <c r="A4" s="39">
        <v>36770</v>
      </c>
    </row>
    <row r="5" spans="1:5" ht="15.75" x14ac:dyDescent="0.25">
      <c r="A5" s="39">
        <v>36800</v>
      </c>
    </row>
    <row r="6" spans="1:5" ht="15.75" x14ac:dyDescent="0.25">
      <c r="A6" s="39">
        <v>36831</v>
      </c>
      <c r="D6" s="9">
        <v>379</v>
      </c>
    </row>
    <row r="7" spans="1:5" ht="15.75" x14ac:dyDescent="0.25">
      <c r="A7" s="39">
        <v>36861</v>
      </c>
      <c r="D7" s="9"/>
    </row>
    <row r="8" spans="1:5" ht="15.75" x14ac:dyDescent="0.25">
      <c r="A8" s="39">
        <v>36892</v>
      </c>
      <c r="D8" s="9"/>
    </row>
    <row r="9" spans="1:5" ht="15.75" x14ac:dyDescent="0.25">
      <c r="A9" s="39">
        <v>36923</v>
      </c>
      <c r="D9" s="9">
        <v>86.2</v>
      </c>
    </row>
    <row r="10" spans="1:5" ht="15.75" x14ac:dyDescent="0.25">
      <c r="A10" s="39">
        <v>36951</v>
      </c>
      <c r="D10" s="9"/>
    </row>
    <row r="11" spans="1:5" ht="15.75" x14ac:dyDescent="0.25">
      <c r="A11" s="39">
        <v>36982</v>
      </c>
      <c r="D11" s="9"/>
    </row>
    <row r="12" spans="1:5" ht="15.75" x14ac:dyDescent="0.25">
      <c r="A12" s="39">
        <v>37012</v>
      </c>
      <c r="D12" s="9">
        <v>917.3</v>
      </c>
    </row>
    <row r="13" spans="1:5" ht="15.75" x14ac:dyDescent="0.25">
      <c r="A13" s="39">
        <v>37043</v>
      </c>
      <c r="D13" s="9"/>
    </row>
    <row r="14" spans="1:5" ht="15.75" x14ac:dyDescent="0.25">
      <c r="A14" s="39">
        <v>37073</v>
      </c>
      <c r="D14" s="9"/>
    </row>
    <row r="15" spans="1:5" ht="15.75" x14ac:dyDescent="0.25">
      <c r="A15" s="39">
        <v>37104</v>
      </c>
      <c r="D15" s="9">
        <v>884.4</v>
      </c>
    </row>
    <row r="16" spans="1:5" ht="15.75" x14ac:dyDescent="0.25">
      <c r="A16" s="39">
        <v>37135</v>
      </c>
      <c r="D16" s="9"/>
    </row>
    <row r="17" spans="1:4" ht="15.75" x14ac:dyDescent="0.25">
      <c r="A17" s="39">
        <v>37165</v>
      </c>
      <c r="D17" s="9"/>
    </row>
    <row r="18" spans="1:4" ht="15.75" x14ac:dyDescent="0.25">
      <c r="A18" s="39">
        <v>37196</v>
      </c>
      <c r="D18" s="9">
        <v>884.4</v>
      </c>
    </row>
    <row r="19" spans="1:4" ht="15.75" x14ac:dyDescent="0.25">
      <c r="A19" s="39">
        <v>37226</v>
      </c>
      <c r="D19" s="9"/>
    </row>
    <row r="20" spans="1:4" ht="15.75" x14ac:dyDescent="0.25">
      <c r="A20" s="39">
        <v>37257</v>
      </c>
      <c r="D20" s="9"/>
    </row>
    <row r="21" spans="1:4" ht="15.75" x14ac:dyDescent="0.25">
      <c r="A21" s="39">
        <v>37288</v>
      </c>
      <c r="D21" s="9" t="s">
        <v>24</v>
      </c>
    </row>
    <row r="22" spans="1:4" ht="15.75" x14ac:dyDescent="0.25">
      <c r="A22" s="39">
        <v>37316</v>
      </c>
      <c r="D22" s="9"/>
    </row>
    <row r="23" spans="1:4" ht="15.75" x14ac:dyDescent="0.25">
      <c r="A23" s="39">
        <v>37347</v>
      </c>
      <c r="D23" s="9"/>
    </row>
    <row r="24" spans="1:4" ht="15.75" x14ac:dyDescent="0.25">
      <c r="A24" s="39">
        <v>37377</v>
      </c>
      <c r="D24" s="9" t="s">
        <v>24</v>
      </c>
    </row>
    <row r="25" spans="1:4" ht="15.75" x14ac:dyDescent="0.25">
      <c r="A25" s="39">
        <v>37408</v>
      </c>
      <c r="D25" s="9"/>
    </row>
    <row r="26" spans="1:4" ht="15.75" x14ac:dyDescent="0.25">
      <c r="A26" s="39">
        <v>37438</v>
      </c>
      <c r="D26" s="9"/>
    </row>
    <row r="27" spans="1:4" ht="15.75" x14ac:dyDescent="0.25">
      <c r="A27" s="39">
        <v>37469</v>
      </c>
      <c r="D27" s="9" t="s">
        <v>24</v>
      </c>
    </row>
    <row r="28" spans="1:4" ht="15.75" x14ac:dyDescent="0.25">
      <c r="A28" s="39">
        <v>37500</v>
      </c>
      <c r="D28" s="9"/>
    </row>
    <row r="29" spans="1:4" ht="15.75" x14ac:dyDescent="0.25">
      <c r="A29" s="39">
        <v>37530</v>
      </c>
      <c r="D29" s="9"/>
    </row>
    <row r="30" spans="1:4" ht="15.75" x14ac:dyDescent="0.25">
      <c r="A30" s="39">
        <v>37561</v>
      </c>
      <c r="D30" s="9">
        <v>659.35</v>
      </c>
    </row>
    <row r="31" spans="1:4" ht="15.75" x14ac:dyDescent="0.25">
      <c r="A31" s="39">
        <v>37591</v>
      </c>
      <c r="D31" s="9"/>
    </row>
    <row r="32" spans="1:4" ht="15.75" x14ac:dyDescent="0.25">
      <c r="A32" s="39">
        <v>37622</v>
      </c>
      <c r="D32" s="9"/>
    </row>
    <row r="33" spans="1:4" ht="15.75" x14ac:dyDescent="0.25">
      <c r="A33" s="39">
        <v>37653</v>
      </c>
      <c r="D33" s="9">
        <v>528.9</v>
      </c>
    </row>
    <row r="34" spans="1:4" ht="15.75" x14ac:dyDescent="0.25">
      <c r="A34" s="39">
        <v>37681</v>
      </c>
      <c r="D34" s="9"/>
    </row>
    <row r="35" spans="1:4" ht="15.75" x14ac:dyDescent="0.25">
      <c r="A35" s="39">
        <v>37712</v>
      </c>
      <c r="D35" s="9"/>
    </row>
    <row r="36" spans="1:4" ht="15.75" x14ac:dyDescent="0.25">
      <c r="A36" s="39">
        <v>37742</v>
      </c>
      <c r="D36" s="9">
        <v>414.8</v>
      </c>
    </row>
    <row r="37" spans="1:4" ht="15.75" x14ac:dyDescent="0.25">
      <c r="A37" s="39">
        <v>37773</v>
      </c>
      <c r="D37" s="9"/>
    </row>
    <row r="38" spans="1:4" ht="15.75" x14ac:dyDescent="0.25">
      <c r="A38" s="39">
        <v>37803</v>
      </c>
      <c r="D38" s="9"/>
    </row>
    <row r="39" spans="1:4" ht="15.75" x14ac:dyDescent="0.25">
      <c r="A39" s="39">
        <v>37834</v>
      </c>
      <c r="D39" s="9">
        <v>434.8</v>
      </c>
    </row>
    <row r="40" spans="1:4" ht="15.75" x14ac:dyDescent="0.25">
      <c r="A40" s="39">
        <v>37865</v>
      </c>
      <c r="D40" s="9"/>
    </row>
    <row r="41" spans="1:4" ht="15.75" x14ac:dyDescent="0.25">
      <c r="A41" s="39">
        <v>37895</v>
      </c>
      <c r="D41" s="9"/>
    </row>
    <row r="42" spans="1:4" ht="15.75" x14ac:dyDescent="0.25">
      <c r="A42" s="39">
        <v>37926</v>
      </c>
      <c r="D42" s="9">
        <v>486.5</v>
      </c>
    </row>
    <row r="43" spans="1:4" ht="15.75" x14ac:dyDescent="0.25">
      <c r="A43" s="39">
        <v>37956</v>
      </c>
      <c r="D43" s="9"/>
    </row>
    <row r="44" spans="1:4" ht="15.75" x14ac:dyDescent="0.25">
      <c r="A44" s="39">
        <v>37987</v>
      </c>
      <c r="D44" s="9"/>
    </row>
    <row r="45" spans="1:4" ht="15.75" x14ac:dyDescent="0.25">
      <c r="A45" s="39">
        <v>38018</v>
      </c>
      <c r="D45" s="9">
        <v>735.5</v>
      </c>
    </row>
    <row r="46" spans="1:4" ht="15.75" x14ac:dyDescent="0.25">
      <c r="A46" s="39">
        <v>38047</v>
      </c>
      <c r="D46" s="9"/>
    </row>
    <row r="47" spans="1:4" ht="15.75" x14ac:dyDescent="0.25">
      <c r="A47" s="39">
        <v>38078</v>
      </c>
      <c r="D47" s="9"/>
    </row>
    <row r="48" spans="1:4" ht="15.75" x14ac:dyDescent="0.25">
      <c r="A48" s="39">
        <v>38108</v>
      </c>
      <c r="D48" s="9">
        <v>526.4</v>
      </c>
    </row>
    <row r="49" spans="1:4" ht="15.75" x14ac:dyDescent="0.25">
      <c r="A49" s="39">
        <v>38139</v>
      </c>
      <c r="D49" s="9"/>
    </row>
    <row r="50" spans="1:4" ht="15.75" x14ac:dyDescent="0.25">
      <c r="A50" s="39">
        <v>38169</v>
      </c>
      <c r="D50" s="9"/>
    </row>
    <row r="51" spans="1:4" ht="15.75" x14ac:dyDescent="0.25">
      <c r="A51" s="39">
        <v>38200</v>
      </c>
      <c r="D51" s="9">
        <v>350.6</v>
      </c>
    </row>
    <row r="52" spans="1:4" ht="15.75" x14ac:dyDescent="0.25">
      <c r="A52" s="39">
        <v>38231</v>
      </c>
      <c r="D52" s="9"/>
    </row>
    <row r="53" spans="1:4" ht="15.75" x14ac:dyDescent="0.25">
      <c r="A53" s="39">
        <v>38261</v>
      </c>
      <c r="D53" s="9"/>
    </row>
    <row r="54" spans="1:4" ht="15.75" x14ac:dyDescent="0.25">
      <c r="A54" s="39">
        <v>38292</v>
      </c>
      <c r="D54" s="9">
        <v>252.5</v>
      </c>
    </row>
    <row r="55" spans="1:4" ht="15.75" x14ac:dyDescent="0.25">
      <c r="A55" s="39">
        <v>38322</v>
      </c>
      <c r="D55" s="9"/>
    </row>
    <row r="56" spans="1:4" ht="15.75" x14ac:dyDescent="0.25">
      <c r="A56" s="39">
        <v>38353</v>
      </c>
      <c r="D56" s="9"/>
    </row>
    <row r="57" spans="1:4" ht="15.75" x14ac:dyDescent="0.25">
      <c r="A57" s="39">
        <v>38384</v>
      </c>
      <c r="D57" s="9">
        <v>190.7</v>
      </c>
    </row>
    <row r="58" spans="1:4" ht="15.75" x14ac:dyDescent="0.25">
      <c r="A58" s="39">
        <v>38412</v>
      </c>
      <c r="D58" s="9"/>
    </row>
    <row r="59" spans="1:4" ht="15.75" x14ac:dyDescent="0.25">
      <c r="A59" s="39">
        <v>38443</v>
      </c>
      <c r="D59" s="9"/>
    </row>
    <row r="60" spans="1:4" ht="15.75" x14ac:dyDescent="0.25">
      <c r="A60" s="39">
        <v>38473</v>
      </c>
      <c r="D60" s="9">
        <v>180.8</v>
      </c>
    </row>
    <row r="61" spans="1:4" ht="15.75" x14ac:dyDescent="0.25">
      <c r="A61" s="39">
        <v>38504</v>
      </c>
    </row>
    <row r="62" spans="1:4" ht="15.75" x14ac:dyDescent="0.25">
      <c r="A62" s="39">
        <v>38534</v>
      </c>
    </row>
    <row r="63" spans="1:4" ht="15.75" x14ac:dyDescent="0.25">
      <c r="A63" s="39">
        <v>38565</v>
      </c>
    </row>
    <row r="64" spans="1:4" ht="15.75" x14ac:dyDescent="0.25">
      <c r="A64" s="39">
        <v>38596</v>
      </c>
    </row>
    <row r="65" spans="1:1" ht="15.75" x14ac:dyDescent="0.25">
      <c r="A65" s="39">
        <v>38626</v>
      </c>
    </row>
    <row r="66" spans="1:1" ht="15.75" x14ac:dyDescent="0.25">
      <c r="A66" s="39">
        <v>38657</v>
      </c>
    </row>
    <row r="67" spans="1:1" ht="15.75" x14ac:dyDescent="0.25">
      <c r="A67" s="39">
        <v>38687</v>
      </c>
    </row>
    <row r="68" spans="1:1" ht="15.75" x14ac:dyDescent="0.25">
      <c r="A68" s="39">
        <v>38718</v>
      </c>
    </row>
    <row r="69" spans="1:1" ht="15.75" x14ac:dyDescent="0.25">
      <c r="A69" s="39">
        <v>38749</v>
      </c>
    </row>
    <row r="70" spans="1:1" ht="15.75" x14ac:dyDescent="0.25">
      <c r="A70" s="39">
        <v>38777</v>
      </c>
    </row>
    <row r="71" spans="1:1" ht="15.75" x14ac:dyDescent="0.25">
      <c r="A71" s="39">
        <v>38808</v>
      </c>
    </row>
    <row r="72" spans="1:1" ht="15.75" x14ac:dyDescent="0.25">
      <c r="A72" s="39">
        <v>38838</v>
      </c>
    </row>
    <row r="73" spans="1:1" ht="15.75" x14ac:dyDescent="0.25">
      <c r="A73" s="39">
        <v>38869</v>
      </c>
    </row>
    <row r="74" spans="1:1" ht="15.75" x14ac:dyDescent="0.25">
      <c r="A74" s="39">
        <v>38899</v>
      </c>
    </row>
    <row r="75" spans="1:1" ht="15.75" x14ac:dyDescent="0.25">
      <c r="A75" s="39">
        <v>38930</v>
      </c>
    </row>
    <row r="76" spans="1:1" ht="15.75" x14ac:dyDescent="0.25">
      <c r="A76" s="39">
        <v>38961</v>
      </c>
    </row>
    <row r="77" spans="1:1" ht="15.75" x14ac:dyDescent="0.25">
      <c r="A77" s="39">
        <v>38991</v>
      </c>
    </row>
    <row r="78" spans="1:1" ht="15.75" x14ac:dyDescent="0.25">
      <c r="A78" s="39">
        <v>39022</v>
      </c>
    </row>
    <row r="79" spans="1:1" ht="15.75" x14ac:dyDescent="0.25">
      <c r="A79" s="39">
        <v>39052</v>
      </c>
    </row>
    <row r="80" spans="1:1" ht="15.75" x14ac:dyDescent="0.25">
      <c r="A80" s="39">
        <v>39083</v>
      </c>
    </row>
    <row r="81" spans="1:4" ht="15.75" x14ac:dyDescent="0.25">
      <c r="A81" s="39">
        <v>39114</v>
      </c>
    </row>
    <row r="82" spans="1:4" ht="15.75" x14ac:dyDescent="0.25">
      <c r="A82" s="39">
        <v>39142</v>
      </c>
    </row>
    <row r="83" spans="1:4" ht="15.75" x14ac:dyDescent="0.25">
      <c r="A83" s="39">
        <v>39173</v>
      </c>
    </row>
    <row r="84" spans="1:4" ht="15.75" x14ac:dyDescent="0.25">
      <c r="A84" s="39">
        <v>39203</v>
      </c>
      <c r="D84" s="9">
        <v>409.9</v>
      </c>
    </row>
    <row r="85" spans="1:4" ht="15.75" x14ac:dyDescent="0.25">
      <c r="A85" s="39">
        <v>39234</v>
      </c>
      <c r="D85" s="9"/>
    </row>
    <row r="86" spans="1:4" ht="15.75" x14ac:dyDescent="0.25">
      <c r="A86" s="39">
        <v>39264</v>
      </c>
      <c r="D86" s="9"/>
    </row>
    <row r="87" spans="1:4" ht="15.75" x14ac:dyDescent="0.25">
      <c r="A87" s="39">
        <v>39295</v>
      </c>
      <c r="D87" s="9">
        <v>611</v>
      </c>
    </row>
    <row r="88" spans="1:4" ht="15.75" x14ac:dyDescent="0.25">
      <c r="A88" s="39">
        <v>39326</v>
      </c>
      <c r="D88" s="9"/>
    </row>
    <row r="89" spans="1:4" ht="15.75" x14ac:dyDescent="0.25">
      <c r="A89" s="39">
        <v>39356</v>
      </c>
      <c r="D89" s="9"/>
    </row>
    <row r="90" spans="1:4" ht="15.75" x14ac:dyDescent="0.25">
      <c r="A90" s="39">
        <v>39387</v>
      </c>
      <c r="D90" s="9">
        <v>651.9</v>
      </c>
    </row>
    <row r="91" spans="1:4" ht="15.75" x14ac:dyDescent="0.25">
      <c r="A91" s="39">
        <v>39417</v>
      </c>
      <c r="D91" s="9"/>
    </row>
    <row r="92" spans="1:4" ht="15.75" x14ac:dyDescent="0.25">
      <c r="A92" s="39">
        <v>39448</v>
      </c>
      <c r="D92" s="9"/>
    </row>
    <row r="93" spans="1:4" ht="15.75" x14ac:dyDescent="0.25">
      <c r="A93" s="39">
        <v>39479</v>
      </c>
      <c r="D93" s="9">
        <v>762.4</v>
      </c>
    </row>
    <row r="94" spans="1:4" ht="15.75" x14ac:dyDescent="0.25">
      <c r="A94" s="39">
        <v>39508</v>
      </c>
      <c r="D94" s="9"/>
    </row>
    <row r="95" spans="1:4" ht="15.75" x14ac:dyDescent="0.25">
      <c r="A95" s="39">
        <v>39539</v>
      </c>
      <c r="D95" s="9"/>
    </row>
    <row r="96" spans="1:4" ht="15.75" x14ac:dyDescent="0.25">
      <c r="A96" s="39">
        <v>39569</v>
      </c>
      <c r="D96" s="9">
        <v>552.79999999999995</v>
      </c>
    </row>
    <row r="97" spans="1:4" ht="15.75" x14ac:dyDescent="0.25">
      <c r="A97" s="39">
        <v>39600</v>
      </c>
      <c r="D97" s="9"/>
    </row>
    <row r="98" spans="1:4" ht="15.75" x14ac:dyDescent="0.25">
      <c r="A98" s="39">
        <v>39630</v>
      </c>
      <c r="D98" s="9"/>
    </row>
    <row r="99" spans="1:4" ht="15.75" x14ac:dyDescent="0.25">
      <c r="A99" s="39">
        <v>39661</v>
      </c>
      <c r="D99" s="9" t="s">
        <v>24</v>
      </c>
    </row>
    <row r="100" spans="1:4" ht="15.75" x14ac:dyDescent="0.25">
      <c r="A100" s="39">
        <v>39692</v>
      </c>
      <c r="D100" s="9"/>
    </row>
    <row r="101" spans="1:4" ht="15.75" x14ac:dyDescent="0.25">
      <c r="A101" s="39">
        <v>39722</v>
      </c>
      <c r="D101" s="9"/>
    </row>
    <row r="102" spans="1:4" ht="15.75" x14ac:dyDescent="0.25">
      <c r="A102" s="39">
        <v>39753</v>
      </c>
      <c r="C102" s="12">
        <v>528.29999999999995</v>
      </c>
      <c r="D102" s="9">
        <v>654.20000000000005</v>
      </c>
    </row>
    <row r="103" spans="1:4" ht="15.75" x14ac:dyDescent="0.25">
      <c r="A103" s="39">
        <v>39783</v>
      </c>
      <c r="C103" s="12"/>
      <c r="D103" s="9"/>
    </row>
    <row r="104" spans="1:4" ht="15.75" x14ac:dyDescent="0.25">
      <c r="A104" s="39">
        <v>39814</v>
      </c>
      <c r="C104" s="12"/>
      <c r="D104" s="9"/>
    </row>
    <row r="105" spans="1:4" ht="15.75" x14ac:dyDescent="0.25">
      <c r="A105" s="39">
        <v>39845</v>
      </c>
      <c r="C105" s="12">
        <v>592.29999999999995</v>
      </c>
      <c r="D105" s="9">
        <v>825.7</v>
      </c>
    </row>
    <row r="106" spans="1:4" ht="15.75" x14ac:dyDescent="0.25">
      <c r="A106" s="39">
        <v>39873</v>
      </c>
      <c r="C106" s="12"/>
      <c r="D106" s="9"/>
    </row>
    <row r="107" spans="1:4" ht="15.75" x14ac:dyDescent="0.25">
      <c r="A107" s="39">
        <v>39904</v>
      </c>
      <c r="C107" s="12"/>
      <c r="D107" s="9"/>
    </row>
    <row r="108" spans="1:4" ht="15.75" x14ac:dyDescent="0.25">
      <c r="A108" s="39">
        <v>39934</v>
      </c>
      <c r="C108" s="12">
        <v>663.2</v>
      </c>
      <c r="D108" s="9">
        <v>818.2</v>
      </c>
    </row>
    <row r="109" spans="1:4" ht="15.75" x14ac:dyDescent="0.25">
      <c r="A109" s="39">
        <v>39965</v>
      </c>
      <c r="C109" s="12"/>
    </row>
    <row r="110" spans="1:4" ht="15.75" x14ac:dyDescent="0.25">
      <c r="A110" s="39">
        <v>39995</v>
      </c>
      <c r="C110" s="12"/>
    </row>
    <row r="111" spans="1:4" ht="15.75" x14ac:dyDescent="0.25">
      <c r="A111" s="39">
        <v>40026</v>
      </c>
      <c r="C111" s="12">
        <v>714.2</v>
      </c>
    </row>
    <row r="112" spans="1:4" ht="15.75" x14ac:dyDescent="0.25">
      <c r="A112" s="39">
        <v>40057</v>
      </c>
      <c r="C112" s="12"/>
    </row>
    <row r="113" spans="1:5" ht="15.75" x14ac:dyDescent="0.25">
      <c r="A113" s="39">
        <v>40087</v>
      </c>
      <c r="C113" s="12"/>
    </row>
    <row r="114" spans="1:5" ht="15.75" x14ac:dyDescent="0.25">
      <c r="A114" s="39">
        <v>40118</v>
      </c>
      <c r="C114" s="12">
        <v>587.29999999999995</v>
      </c>
    </row>
    <row r="115" spans="1:5" ht="15.75" x14ac:dyDescent="0.25">
      <c r="A115" s="39">
        <v>40148</v>
      </c>
      <c r="C115" s="12"/>
    </row>
    <row r="116" spans="1:5" ht="15.75" x14ac:dyDescent="0.25">
      <c r="A116" s="39">
        <v>40179</v>
      </c>
      <c r="C116" s="12"/>
    </row>
    <row r="117" spans="1:5" ht="15.75" x14ac:dyDescent="0.25">
      <c r="A117" s="39">
        <v>40210</v>
      </c>
      <c r="C117" s="12">
        <v>577.29999999999995</v>
      </c>
    </row>
    <row r="118" spans="1:5" ht="15.75" x14ac:dyDescent="0.25">
      <c r="A118" s="39">
        <v>40238</v>
      </c>
      <c r="C118" s="12"/>
    </row>
    <row r="119" spans="1:5" ht="15.75" x14ac:dyDescent="0.25">
      <c r="A119" s="39">
        <v>40269</v>
      </c>
      <c r="C119" s="12"/>
    </row>
    <row r="120" spans="1:5" ht="15.75" x14ac:dyDescent="0.25">
      <c r="A120" s="39">
        <v>40299</v>
      </c>
      <c r="C120" s="12">
        <v>669.2</v>
      </c>
    </row>
    <row r="121" spans="1:5" ht="15.75" x14ac:dyDescent="0.25">
      <c r="A121" s="39">
        <v>40330</v>
      </c>
    </row>
    <row r="122" spans="1:5" ht="15.75" x14ac:dyDescent="0.25">
      <c r="A122" s="39">
        <v>40360</v>
      </c>
    </row>
    <row r="123" spans="1:5" ht="15.75" x14ac:dyDescent="0.25">
      <c r="A123" s="39">
        <v>40391</v>
      </c>
      <c r="C123" s="12">
        <v>693.7</v>
      </c>
    </row>
    <row r="124" spans="1:5" ht="15.75" x14ac:dyDescent="0.25">
      <c r="A124" s="39">
        <v>40422</v>
      </c>
      <c r="C124" s="12"/>
    </row>
    <row r="125" spans="1:5" ht="15.75" x14ac:dyDescent="0.25">
      <c r="A125" s="39">
        <v>40452</v>
      </c>
      <c r="C125" s="12"/>
    </row>
    <row r="126" spans="1:5" ht="15.75" x14ac:dyDescent="0.25">
      <c r="A126" s="39">
        <v>40483</v>
      </c>
      <c r="B126" s="12">
        <v>375.8</v>
      </c>
      <c r="C126" s="12">
        <v>666.7</v>
      </c>
      <c r="E126" s="7">
        <v>369.4</v>
      </c>
    </row>
    <row r="127" spans="1:5" ht="15.75" x14ac:dyDescent="0.25">
      <c r="A127" s="39">
        <v>40513</v>
      </c>
      <c r="B127" s="12"/>
      <c r="C127" s="12"/>
      <c r="E127" s="32"/>
    </row>
    <row r="128" spans="1:5" ht="15.75" x14ac:dyDescent="0.25">
      <c r="A128" s="39">
        <v>40544</v>
      </c>
      <c r="B128" s="8"/>
      <c r="C128" s="8"/>
      <c r="E128" s="32"/>
    </row>
    <row r="129" spans="1:5" ht="15.75" x14ac:dyDescent="0.25">
      <c r="A129" s="39">
        <v>40575</v>
      </c>
      <c r="B129" s="12">
        <v>372</v>
      </c>
      <c r="C129" s="12">
        <v>652.20000000000005</v>
      </c>
      <c r="E129" s="10">
        <v>465.3</v>
      </c>
    </row>
    <row r="130" spans="1:5" ht="15.75" x14ac:dyDescent="0.25">
      <c r="A130" s="39">
        <v>40603</v>
      </c>
      <c r="B130" s="8"/>
      <c r="C130" s="8"/>
      <c r="E130" s="32"/>
    </row>
    <row r="131" spans="1:5" ht="15.75" x14ac:dyDescent="0.25">
      <c r="A131" s="39">
        <v>40634</v>
      </c>
      <c r="B131" s="8"/>
      <c r="C131" s="8"/>
      <c r="E131" s="32"/>
    </row>
    <row r="132" spans="1:5" ht="15.75" x14ac:dyDescent="0.25">
      <c r="A132" s="39">
        <v>40664</v>
      </c>
      <c r="B132" s="12">
        <v>441</v>
      </c>
      <c r="C132" s="12">
        <v>744.7</v>
      </c>
      <c r="E132" s="10">
        <v>468.8</v>
      </c>
    </row>
    <row r="133" spans="1:5" ht="15.75" x14ac:dyDescent="0.25">
      <c r="A133" s="39">
        <v>40695</v>
      </c>
      <c r="B133" s="8"/>
      <c r="C133" s="8"/>
      <c r="E133" s="32"/>
    </row>
    <row r="134" spans="1:5" ht="15.75" x14ac:dyDescent="0.25">
      <c r="A134" s="39">
        <v>40725</v>
      </c>
      <c r="B134" s="8"/>
      <c r="C134" s="8"/>
      <c r="E134" s="32"/>
    </row>
    <row r="135" spans="1:5" ht="15.75" x14ac:dyDescent="0.25">
      <c r="A135" s="39">
        <v>40756</v>
      </c>
      <c r="B135" s="51">
        <v>4444</v>
      </c>
      <c r="C135" s="12">
        <v>790.7</v>
      </c>
      <c r="E135" s="50">
        <v>770.3</v>
      </c>
    </row>
    <row r="136" spans="1:5" ht="15.75" x14ac:dyDescent="0.25">
      <c r="A136" s="39">
        <v>40787</v>
      </c>
      <c r="B136" s="8"/>
      <c r="C136" s="8"/>
      <c r="E136" s="32"/>
    </row>
    <row r="137" spans="1:5" ht="15.75" x14ac:dyDescent="0.25">
      <c r="A137" s="39">
        <v>40817</v>
      </c>
      <c r="B137" s="8"/>
      <c r="C137" s="8"/>
      <c r="E137" s="32"/>
    </row>
    <row r="138" spans="1:5" ht="15.75" x14ac:dyDescent="0.25">
      <c r="A138" s="39">
        <v>40848</v>
      </c>
      <c r="B138" s="12">
        <v>428</v>
      </c>
      <c r="C138" s="12">
        <v>562.29999999999995</v>
      </c>
      <c r="E138" s="10">
        <v>434.8</v>
      </c>
    </row>
    <row r="139" spans="1:5" ht="15.75" x14ac:dyDescent="0.25">
      <c r="A139" s="39">
        <v>40878</v>
      </c>
      <c r="B139" s="8"/>
      <c r="C139" s="8"/>
      <c r="E139" s="7"/>
    </row>
    <row r="140" spans="1:5" ht="15.75" x14ac:dyDescent="0.25">
      <c r="A140" s="39">
        <v>40909</v>
      </c>
      <c r="B140" s="8"/>
      <c r="C140" s="8"/>
      <c r="E140" s="7"/>
    </row>
    <row r="141" spans="1:5" ht="15.75" x14ac:dyDescent="0.25">
      <c r="A141" s="39">
        <v>40940</v>
      </c>
      <c r="B141" s="8">
        <v>397.3</v>
      </c>
      <c r="C141" s="8">
        <v>570</v>
      </c>
      <c r="E141" s="10">
        <v>450.3</v>
      </c>
    </row>
    <row r="142" spans="1:5" ht="15.75" x14ac:dyDescent="0.25">
      <c r="A142" s="39">
        <v>40969</v>
      </c>
      <c r="B142" s="8"/>
      <c r="C142" s="8"/>
      <c r="E142" s="7"/>
    </row>
    <row r="143" spans="1:5" ht="15.75" x14ac:dyDescent="0.25">
      <c r="A143" s="39">
        <v>41000</v>
      </c>
      <c r="B143" s="8"/>
      <c r="C143" s="8"/>
      <c r="E143" s="7"/>
    </row>
    <row r="144" spans="1:5" ht="15.75" x14ac:dyDescent="0.25">
      <c r="A144" s="39">
        <v>41030</v>
      </c>
      <c r="B144" s="8">
        <v>309.39999999999998</v>
      </c>
      <c r="C144" s="8">
        <v>565</v>
      </c>
      <c r="E144" s="10">
        <v>415.8</v>
      </c>
    </row>
    <row r="145" spans="1:18" ht="15.75" x14ac:dyDescent="0.25">
      <c r="A145" s="39">
        <v>41061</v>
      </c>
    </row>
    <row r="146" spans="1:18" ht="15.75" x14ac:dyDescent="0.25">
      <c r="A146" s="39">
        <v>41091</v>
      </c>
    </row>
    <row r="147" spans="1:18" s="5" customFormat="1" ht="15.75" x14ac:dyDescent="0.25">
      <c r="A147" s="39">
        <v>41122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s="5" customFormat="1" ht="15.75" x14ac:dyDescent="0.25">
      <c r="A148" s="39">
        <v>41153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s="5" customFormat="1" ht="15.75" x14ac:dyDescent="0.25">
      <c r="A149" s="39">
        <v>41183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s="5" customFormat="1" ht="15.75" x14ac:dyDescent="0.25">
      <c r="A150" s="39">
        <v>41214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s="5" customFormat="1" ht="15.75" x14ac:dyDescent="0.25">
      <c r="A151" s="39">
        <v>41244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s="5" customFormat="1" ht="15.75" x14ac:dyDescent="0.25">
      <c r="A152" s="39">
        <v>41275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s="5" customFormat="1" ht="15.75" x14ac:dyDescent="0.25">
      <c r="A153" s="39">
        <v>41306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s="5" customFormat="1" ht="15.75" x14ac:dyDescent="0.25">
      <c r="A154" s="39">
        <v>41334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s="5" customFormat="1" ht="15.75" x14ac:dyDescent="0.25">
      <c r="A155" s="39">
        <v>41365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s="5" customFormat="1" ht="15.75" x14ac:dyDescent="0.25">
      <c r="A156" s="39">
        <v>41395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s="5" customFormat="1" ht="15.75" x14ac:dyDescent="0.25">
      <c r="A157" s="39">
        <v>41426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s="5" customFormat="1" ht="15.75" x14ac:dyDescent="0.25">
      <c r="A158" s="39">
        <v>41456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s="5" customFormat="1" ht="15.75" x14ac:dyDescent="0.25">
      <c r="A159" s="39">
        <v>41487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s="5" customFormat="1" ht="15.75" x14ac:dyDescent="0.25">
      <c r="A160" s="39">
        <v>41518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s="5" customFormat="1" ht="15.75" x14ac:dyDescent="0.25">
      <c r="A161" s="39">
        <v>41548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s="5" customFormat="1" ht="15.75" x14ac:dyDescent="0.25">
      <c r="A162" s="39">
        <v>41579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ht="15.75" x14ac:dyDescent="0.25">
      <c r="A163" s="39">
        <v>41609</v>
      </c>
    </row>
    <row r="164" spans="1:18" ht="15.75" x14ac:dyDescent="0.25">
      <c r="A164" s="39">
        <v>41640</v>
      </c>
    </row>
    <row r="165" spans="1:18" ht="15.75" x14ac:dyDescent="0.25">
      <c r="A165" s="39">
        <v>41671</v>
      </c>
    </row>
    <row r="166" spans="1:18" ht="15.75" x14ac:dyDescent="0.25">
      <c r="A166" s="39">
        <v>41699</v>
      </c>
    </row>
    <row r="167" spans="1:18" ht="15.75" x14ac:dyDescent="0.25">
      <c r="A167" s="39">
        <v>41730</v>
      </c>
    </row>
    <row r="168" spans="1:18" ht="15.75" x14ac:dyDescent="0.25">
      <c r="A168" s="39">
        <v>41760</v>
      </c>
    </row>
    <row r="169" spans="1:18" ht="15.75" x14ac:dyDescent="0.25">
      <c r="A169" s="39">
        <v>41791</v>
      </c>
    </row>
    <row r="170" spans="1:18" ht="15.75" x14ac:dyDescent="0.25">
      <c r="A170" s="39">
        <v>41821</v>
      </c>
    </row>
    <row r="171" spans="1:18" ht="15.75" x14ac:dyDescent="0.25">
      <c r="A171" s="39">
        <v>41852</v>
      </c>
    </row>
    <row r="172" spans="1:18" ht="15.75" x14ac:dyDescent="0.25">
      <c r="A172" s="39">
        <v>41883</v>
      </c>
    </row>
    <row r="173" spans="1:18" ht="15.75" x14ac:dyDescent="0.25">
      <c r="A173" s="39">
        <v>41913</v>
      </c>
    </row>
    <row r="174" spans="1:18" ht="15.75" x14ac:dyDescent="0.25">
      <c r="A174" s="39">
        <v>41944</v>
      </c>
    </row>
    <row r="175" spans="1:18" ht="15.75" x14ac:dyDescent="0.25">
      <c r="A175" s="39">
        <v>41974</v>
      </c>
    </row>
    <row r="176" spans="1:18" ht="15.75" x14ac:dyDescent="0.25">
      <c r="A176" s="39">
        <v>42005</v>
      </c>
    </row>
    <row r="177" spans="1:1" ht="15.75" x14ac:dyDescent="0.25">
      <c r="A177" s="39">
        <v>42036</v>
      </c>
    </row>
    <row r="178" spans="1:1" ht="15.75" x14ac:dyDescent="0.25">
      <c r="A178" s="39">
        <v>42064</v>
      </c>
    </row>
    <row r="179" spans="1:1" ht="15.75" x14ac:dyDescent="0.25">
      <c r="A179" s="39">
        <v>42095</v>
      </c>
    </row>
    <row r="180" spans="1:1" ht="15.75" x14ac:dyDescent="0.25">
      <c r="A180" s="39">
        <v>42125</v>
      </c>
    </row>
    <row r="181" spans="1:1" ht="15.75" x14ac:dyDescent="0.25">
      <c r="A181" s="39">
        <v>42156</v>
      </c>
    </row>
    <row r="182" spans="1:1" ht="15.75" x14ac:dyDescent="0.25">
      <c r="A182" s="39">
        <v>42186</v>
      </c>
    </row>
    <row r="183" spans="1:1" ht="15.75" x14ac:dyDescent="0.25">
      <c r="A183" s="39">
        <v>42217</v>
      </c>
    </row>
    <row r="184" spans="1:1" ht="15.75" x14ac:dyDescent="0.25">
      <c r="A184" s="39">
        <v>42248</v>
      </c>
    </row>
    <row r="185" spans="1:1" ht="15.75" x14ac:dyDescent="0.25">
      <c r="A185" s="39">
        <v>42278</v>
      </c>
    </row>
    <row r="186" spans="1:1" ht="15.75" x14ac:dyDescent="0.25">
      <c r="A186" s="39">
        <v>42309</v>
      </c>
    </row>
    <row r="187" spans="1:1" ht="15.75" x14ac:dyDescent="0.25">
      <c r="A187" s="39">
        <v>42339</v>
      </c>
    </row>
    <row r="188" spans="1:1" ht="15.75" x14ac:dyDescent="0.25">
      <c r="A188" s="39">
        <v>42370</v>
      </c>
    </row>
    <row r="189" spans="1:1" ht="15.75" x14ac:dyDescent="0.25">
      <c r="A189" s="39">
        <v>42401</v>
      </c>
    </row>
    <row r="190" spans="1:1" ht="15.75" x14ac:dyDescent="0.25">
      <c r="A190" s="39">
        <v>42430</v>
      </c>
    </row>
    <row r="191" spans="1:1" ht="15.75" x14ac:dyDescent="0.25">
      <c r="A191" s="39">
        <v>42461</v>
      </c>
    </row>
    <row r="192" spans="1:1" ht="15.75" x14ac:dyDescent="0.25">
      <c r="A192" s="39">
        <v>42491</v>
      </c>
    </row>
    <row r="193" spans="1:1" ht="15.75" x14ac:dyDescent="0.25">
      <c r="A193" s="39">
        <v>42522</v>
      </c>
    </row>
    <row r="194" spans="1:1" ht="15.75" x14ac:dyDescent="0.25">
      <c r="A194" s="39">
        <v>42552</v>
      </c>
    </row>
    <row r="195" spans="1:1" ht="15.75" x14ac:dyDescent="0.25">
      <c r="A195" s="39">
        <v>42583</v>
      </c>
    </row>
    <row r="196" spans="1:1" ht="15.75" x14ac:dyDescent="0.25">
      <c r="A196" s="39">
        <v>42614</v>
      </c>
    </row>
    <row r="197" spans="1:1" ht="15.75" x14ac:dyDescent="0.25">
      <c r="A197" s="39">
        <v>42644</v>
      </c>
    </row>
    <row r="198" spans="1:1" ht="15.75" x14ac:dyDescent="0.25">
      <c r="A198" s="39">
        <v>42675</v>
      </c>
    </row>
    <row r="199" spans="1:1" ht="15.75" x14ac:dyDescent="0.25">
      <c r="A199" s="39">
        <v>42705</v>
      </c>
    </row>
    <row r="200" spans="1:1" ht="15.75" x14ac:dyDescent="0.25">
      <c r="A200" s="39">
        <v>42736</v>
      </c>
    </row>
    <row r="201" spans="1:1" ht="15.75" x14ac:dyDescent="0.25">
      <c r="A201" s="39">
        <v>42767</v>
      </c>
    </row>
    <row r="202" spans="1:1" ht="15.75" x14ac:dyDescent="0.25">
      <c r="A202" s="39">
        <v>42795</v>
      </c>
    </row>
    <row r="203" spans="1:1" ht="15.75" x14ac:dyDescent="0.25">
      <c r="A203" s="39">
        <v>42826</v>
      </c>
    </row>
    <row r="204" spans="1:1" ht="15.75" x14ac:dyDescent="0.25">
      <c r="A204" s="39">
        <v>42856</v>
      </c>
    </row>
    <row r="205" spans="1:1" ht="15.75" x14ac:dyDescent="0.25">
      <c r="A205" s="39">
        <v>42887</v>
      </c>
    </row>
    <row r="206" spans="1:1" ht="15.75" x14ac:dyDescent="0.25">
      <c r="A206" s="39">
        <v>42917</v>
      </c>
    </row>
    <row r="207" spans="1:1" ht="15.75" x14ac:dyDescent="0.25">
      <c r="A207" s="39">
        <v>42948</v>
      </c>
    </row>
    <row r="208" spans="1:1" ht="15.75" x14ac:dyDescent="0.25">
      <c r="A208" s="39">
        <v>42979</v>
      </c>
    </row>
    <row r="209" spans="1:1" ht="15.75" x14ac:dyDescent="0.25">
      <c r="A209" s="39">
        <v>43009</v>
      </c>
    </row>
    <row r="210" spans="1:1" ht="15.75" x14ac:dyDescent="0.25">
      <c r="A210" s="39">
        <v>43040</v>
      </c>
    </row>
    <row r="211" spans="1:1" ht="15.75" x14ac:dyDescent="0.25">
      <c r="A211" s="39">
        <v>43070</v>
      </c>
    </row>
    <row r="212" spans="1:1" ht="15.75" x14ac:dyDescent="0.25">
      <c r="A212" s="39">
        <v>43101</v>
      </c>
    </row>
    <row r="213" spans="1:1" ht="15.75" x14ac:dyDescent="0.25">
      <c r="A213" s="39">
        <v>43132</v>
      </c>
    </row>
    <row r="214" spans="1:1" ht="15.75" x14ac:dyDescent="0.25">
      <c r="A214" s="39">
        <v>43160</v>
      </c>
    </row>
    <row r="215" spans="1:1" ht="15.75" x14ac:dyDescent="0.25">
      <c r="A215" s="39">
        <v>43191</v>
      </c>
    </row>
    <row r="216" spans="1:1" ht="15.75" x14ac:dyDescent="0.25">
      <c r="A216" s="39">
        <v>43221</v>
      </c>
    </row>
    <row r="217" spans="1:1" ht="15.75" x14ac:dyDescent="0.25">
      <c r="A217" s="39">
        <v>43252</v>
      </c>
    </row>
    <row r="218" spans="1:1" ht="15.75" x14ac:dyDescent="0.25">
      <c r="A218" s="39">
        <v>43282</v>
      </c>
    </row>
    <row r="219" spans="1:1" ht="15.75" x14ac:dyDescent="0.25">
      <c r="A219" s="39">
        <v>43313</v>
      </c>
    </row>
    <row r="220" spans="1:1" ht="15.75" x14ac:dyDescent="0.25">
      <c r="A220" s="39">
        <v>43344</v>
      </c>
    </row>
    <row r="221" spans="1:1" ht="15.75" x14ac:dyDescent="0.25">
      <c r="A221" s="39">
        <v>43374</v>
      </c>
    </row>
    <row r="222" spans="1:1" ht="15.75" x14ac:dyDescent="0.25">
      <c r="A222" s="39">
        <v>43405</v>
      </c>
    </row>
    <row r="223" spans="1:1" ht="15.75" x14ac:dyDescent="0.25">
      <c r="A223" s="39">
        <v>43435</v>
      </c>
    </row>
    <row r="224" spans="1:1" ht="15.75" x14ac:dyDescent="0.25">
      <c r="A224" s="39">
        <v>43466</v>
      </c>
    </row>
    <row r="225" spans="1:1" ht="15.75" x14ac:dyDescent="0.25">
      <c r="A225" s="39">
        <v>43497</v>
      </c>
    </row>
    <row r="226" spans="1:1" ht="15.75" x14ac:dyDescent="0.25">
      <c r="A226" s="39">
        <v>43525</v>
      </c>
    </row>
    <row r="227" spans="1:1" ht="15.75" x14ac:dyDescent="0.25">
      <c r="A227" s="39">
        <v>43556</v>
      </c>
    </row>
    <row r="228" spans="1:1" ht="15.75" x14ac:dyDescent="0.25">
      <c r="A228" s="39">
        <v>43586</v>
      </c>
    </row>
    <row r="229" spans="1:1" ht="15.75" x14ac:dyDescent="0.25">
      <c r="A229" s="39">
        <v>43617</v>
      </c>
    </row>
    <row r="230" spans="1:1" ht="15.75" x14ac:dyDescent="0.25">
      <c r="A230" s="39">
        <v>43647</v>
      </c>
    </row>
    <row r="231" spans="1:1" ht="15.75" x14ac:dyDescent="0.25">
      <c r="A231" s="39">
        <v>43678</v>
      </c>
    </row>
    <row r="232" spans="1:1" ht="15.75" x14ac:dyDescent="0.25">
      <c r="A232" s="39">
        <v>43709</v>
      </c>
    </row>
    <row r="233" spans="1:1" ht="15" customHeight="1" x14ac:dyDescent="0.25">
      <c r="A233" s="40">
        <v>43739</v>
      </c>
    </row>
    <row r="234" spans="1:1" ht="15" customHeight="1" x14ac:dyDescent="0.25">
      <c r="A234" s="40">
        <v>43770</v>
      </c>
    </row>
    <row r="235" spans="1:1" ht="15" customHeight="1" x14ac:dyDescent="0.25">
      <c r="A235" s="40">
        <v>43800</v>
      </c>
    </row>
    <row r="236" spans="1:1" ht="15" customHeight="1" x14ac:dyDescent="0.25">
      <c r="A236" s="40">
        <v>43831</v>
      </c>
    </row>
    <row r="237" spans="1:1" ht="15" customHeight="1" x14ac:dyDescent="0.25">
      <c r="A237" s="40">
        <v>43862</v>
      </c>
    </row>
    <row r="238" spans="1:1" ht="15" customHeight="1" x14ac:dyDescent="0.25">
      <c r="A238" s="40">
        <v>43891</v>
      </c>
    </row>
    <row r="239" spans="1:1" ht="15" customHeight="1" x14ac:dyDescent="0.25">
      <c r="A239" s="40">
        <v>43922</v>
      </c>
    </row>
    <row r="240" spans="1:1" ht="15" customHeight="1" x14ac:dyDescent="0.25">
      <c r="A240" s="40">
        <v>43952</v>
      </c>
    </row>
    <row r="241" spans="1:1" ht="15" customHeight="1" x14ac:dyDescent="0.25">
      <c r="A241" s="40">
        <v>43983</v>
      </c>
    </row>
    <row r="242" spans="1:1" ht="15" customHeight="1" x14ac:dyDescent="0.25">
      <c r="A242" s="40">
        <v>44013</v>
      </c>
    </row>
    <row r="243" spans="1:1" ht="15" customHeight="1" x14ac:dyDescent="0.25">
      <c r="A243" s="40">
        <v>44044</v>
      </c>
    </row>
    <row r="244" spans="1:1" ht="15" customHeight="1" x14ac:dyDescent="0.25">
      <c r="A244" s="40">
        <v>44075</v>
      </c>
    </row>
    <row r="245" spans="1:1" ht="15" customHeight="1" x14ac:dyDescent="0.25">
      <c r="A245" s="40">
        <v>44105</v>
      </c>
    </row>
    <row r="246" spans="1:1" ht="15" customHeight="1" x14ac:dyDescent="0.25">
      <c r="A246" s="40">
        <v>44136</v>
      </c>
    </row>
    <row r="247" spans="1:1" ht="15" customHeight="1" x14ac:dyDescent="0.25">
      <c r="A247" s="40">
        <v>44166</v>
      </c>
    </row>
    <row r="248" spans="1:1" ht="15" customHeight="1" x14ac:dyDescent="0.25">
      <c r="A248" s="40">
        <v>44197</v>
      </c>
    </row>
    <row r="249" spans="1:1" ht="15" customHeight="1" x14ac:dyDescent="0.25">
      <c r="A249" s="40">
        <v>44228</v>
      </c>
    </row>
    <row r="250" spans="1:1" ht="15" customHeight="1" x14ac:dyDescent="0.25">
      <c r="A250" s="40">
        <v>44256</v>
      </c>
    </row>
    <row r="251" spans="1:1" ht="15" customHeight="1" x14ac:dyDescent="0.25">
      <c r="A251" s="40">
        <v>44287</v>
      </c>
    </row>
    <row r="252" spans="1:1" ht="15" customHeight="1" x14ac:dyDescent="0.25">
      <c r="A252" s="40">
        <v>44317</v>
      </c>
    </row>
    <row r="253" spans="1:1" ht="15" customHeight="1" x14ac:dyDescent="0.25">
      <c r="A253" s="40">
        <v>44348</v>
      </c>
    </row>
    <row r="254" spans="1:1" ht="15" customHeight="1" x14ac:dyDescent="0.25">
      <c r="A254" s="40">
        <v>44378</v>
      </c>
    </row>
    <row r="255" spans="1:1" ht="15" customHeight="1" x14ac:dyDescent="0.25">
      <c r="A255" s="40">
        <v>44409</v>
      </c>
    </row>
    <row r="256" spans="1:1" x14ac:dyDescent="0.25">
      <c r="A256" s="40">
        <v>44440</v>
      </c>
    </row>
    <row r="257" spans="1:1" x14ac:dyDescent="0.25">
      <c r="A257" s="40">
        <v>44470</v>
      </c>
    </row>
    <row r="258" spans="1:1" x14ac:dyDescent="0.25">
      <c r="A258" s="40">
        <v>44501</v>
      </c>
    </row>
    <row r="259" spans="1:1" x14ac:dyDescent="0.25">
      <c r="A259" s="40">
        <v>44531</v>
      </c>
    </row>
    <row r="260" spans="1:1" x14ac:dyDescent="0.25">
      <c r="A260" s="40">
        <v>44562</v>
      </c>
    </row>
    <row r="261" spans="1:1" x14ac:dyDescent="0.25">
      <c r="A261" s="40">
        <v>44593</v>
      </c>
    </row>
    <row r="262" spans="1:1" x14ac:dyDescent="0.25">
      <c r="A262" s="40">
        <v>44621</v>
      </c>
    </row>
    <row r="263" spans="1:1" x14ac:dyDescent="0.25">
      <c r="A263" s="40">
        <v>44652</v>
      </c>
    </row>
    <row r="264" spans="1:1" x14ac:dyDescent="0.25">
      <c r="A264" s="40">
        <v>44682</v>
      </c>
    </row>
    <row r="265" spans="1:1" x14ac:dyDescent="0.25">
      <c r="A265" s="40">
        <v>44713</v>
      </c>
    </row>
    <row r="266" spans="1:1" x14ac:dyDescent="0.25">
      <c r="A266" s="40">
        <v>44743</v>
      </c>
    </row>
    <row r="267" spans="1:1" x14ac:dyDescent="0.25">
      <c r="A267" s="40">
        <v>44774</v>
      </c>
    </row>
    <row r="268" spans="1:1" x14ac:dyDescent="0.25">
      <c r="A268" s="40">
        <v>44805</v>
      </c>
    </row>
    <row r="269" spans="1:1" x14ac:dyDescent="0.25">
      <c r="A269" s="40">
        <v>44835</v>
      </c>
    </row>
    <row r="270" spans="1:1" x14ac:dyDescent="0.25">
      <c r="A270" s="40">
        <v>44866</v>
      </c>
    </row>
    <row r="271" spans="1:1" x14ac:dyDescent="0.25">
      <c r="A271" s="40">
        <v>44896</v>
      </c>
    </row>
    <row r="272" spans="1:1" x14ac:dyDescent="0.25">
      <c r="A272" s="40">
        <v>44927</v>
      </c>
    </row>
    <row r="273" spans="1:1" x14ac:dyDescent="0.25">
      <c r="A273" s="40">
        <v>44958</v>
      </c>
    </row>
    <row r="274" spans="1:1" x14ac:dyDescent="0.25">
      <c r="A274" s="40">
        <v>44986</v>
      </c>
    </row>
    <row r="275" spans="1:1" x14ac:dyDescent="0.25">
      <c r="A275" s="40">
        <v>45017</v>
      </c>
    </row>
    <row r="276" spans="1:1" x14ac:dyDescent="0.25">
      <c r="A276" s="40">
        <v>45047</v>
      </c>
    </row>
    <row r="277" spans="1:1" x14ac:dyDescent="0.25">
      <c r="A277" s="40">
        <v>45078</v>
      </c>
    </row>
    <row r="278" spans="1:1" x14ac:dyDescent="0.25">
      <c r="A278" s="40">
        <v>45108</v>
      </c>
    </row>
    <row r="279" spans="1:1" x14ac:dyDescent="0.25">
      <c r="A279" s="40">
        <v>45139</v>
      </c>
    </row>
    <row r="280" spans="1:1" x14ac:dyDescent="0.25">
      <c r="A280" s="40">
        <v>45170</v>
      </c>
    </row>
    <row r="281" spans="1:1" x14ac:dyDescent="0.25">
      <c r="A281" s="40">
        <v>45200</v>
      </c>
    </row>
    <row r="282" spans="1:1" x14ac:dyDescent="0.25">
      <c r="A282" s="40">
        <v>45231</v>
      </c>
    </row>
    <row r="283" spans="1:1" x14ac:dyDescent="0.25">
      <c r="A283" s="40">
        <v>45261</v>
      </c>
    </row>
    <row r="284" spans="1:1" ht="15" customHeight="1" x14ac:dyDescent="0.25"/>
    <row r="285" spans="1:1" ht="15" customHeight="1" x14ac:dyDescent="0.25"/>
    <row r="286" spans="1:1" ht="15" customHeight="1" x14ac:dyDescent="0.25"/>
    <row r="287" spans="1:1" ht="15" customHeight="1" x14ac:dyDescent="0.25"/>
  </sheetData>
  <mergeCells count="2">
    <mergeCell ref="B1:C1"/>
    <mergeCell ref="D1:E1"/>
  </mergeCells>
  <conditionalFormatting sqref="B126:B134 B136:B144">
    <cfRule type="cellIs" dxfId="6" priority="27" operator="greaterThan">
      <formula>700</formula>
    </cfRule>
  </conditionalFormatting>
  <conditionalFormatting sqref="B4:E134 C135:D135 B136:E283">
    <cfRule type="cellIs" dxfId="5" priority="1" operator="greaterThan">
      <formula>1000</formula>
    </cfRule>
  </conditionalFormatting>
  <conditionalFormatting sqref="C102:C120">
    <cfRule type="cellIs" dxfId="4" priority="29" operator="greaterThan">
      <formula>700</formula>
    </cfRule>
  </conditionalFormatting>
  <conditionalFormatting sqref="C123:C144">
    <cfRule type="cellIs" dxfId="3" priority="28" operator="greaterThan">
      <formula>700</formula>
    </cfRule>
  </conditionalFormatting>
  <conditionalFormatting sqref="D6:D60">
    <cfRule type="cellIs" dxfId="2" priority="13" operator="greaterThan">
      <formula>700</formula>
    </cfRule>
  </conditionalFormatting>
  <conditionalFormatting sqref="D84:D108">
    <cfRule type="cellIs" dxfId="1" priority="12" operator="greaterThan">
      <formula>700</formula>
    </cfRule>
  </conditionalFormatting>
  <conditionalFormatting sqref="E126:E134 E136:E144">
    <cfRule type="cellIs" dxfId="0" priority="10" operator="greaterThan">
      <formula>700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D5C61-18F1-442B-97CF-EBE7D6E590A3}">
  <dimension ref="A1:E632"/>
  <sheetViews>
    <sheetView zoomScale="86" zoomScaleNormal="86" workbookViewId="0">
      <selection activeCell="D18" sqref="D18"/>
    </sheetView>
  </sheetViews>
  <sheetFormatPr defaultRowHeight="15" x14ac:dyDescent="0.25"/>
  <cols>
    <col min="1" max="1" width="12.140625" style="65" customWidth="1"/>
  </cols>
  <sheetData>
    <row r="1" spans="1:5" ht="15.75" x14ac:dyDescent="0.25">
      <c r="A1" s="53"/>
    </row>
    <row r="2" spans="1:5" ht="15.75" x14ac:dyDescent="0.25">
      <c r="A2" s="54" t="s">
        <v>5</v>
      </c>
      <c r="B2" s="109" t="s">
        <v>11</v>
      </c>
      <c r="C2" s="109"/>
      <c r="D2" s="114" t="s">
        <v>17</v>
      </c>
      <c r="E2" s="114"/>
    </row>
    <row r="3" spans="1:5" ht="15.75" x14ac:dyDescent="0.25">
      <c r="A3" s="54" t="s">
        <v>31</v>
      </c>
      <c r="B3" s="2">
        <v>13.452120000000001</v>
      </c>
      <c r="C3" s="2">
        <v>144.79151999999999</v>
      </c>
      <c r="D3" s="24">
        <v>13.550664360000001</v>
      </c>
      <c r="E3" s="24">
        <v>144.83714620000001</v>
      </c>
    </row>
    <row r="4" spans="1:5" ht="63" x14ac:dyDescent="0.25">
      <c r="A4" s="55"/>
      <c r="B4" s="28" t="s">
        <v>22</v>
      </c>
      <c r="C4" s="29" t="s">
        <v>23</v>
      </c>
      <c r="D4" s="30" t="s">
        <v>22</v>
      </c>
      <c r="E4" s="31" t="s">
        <v>23</v>
      </c>
    </row>
    <row r="5" spans="1:5" ht="15.75" x14ac:dyDescent="0.25">
      <c r="A5" s="56" t="s">
        <v>32</v>
      </c>
      <c r="B5" s="81" t="e">
        <f t="shared" ref="B5:C5" si="0">SLOPE(B21:B916,$A21:$A916)</f>
        <v>#DIV/0!</v>
      </c>
      <c r="C5" s="81" t="e">
        <f t="shared" si="0"/>
        <v>#DIV/0!</v>
      </c>
      <c r="D5" s="57" t="e">
        <f t="shared" ref="D5:E5" si="1">SLOPE(D21:D913,$A21:$A913)</f>
        <v>#DIV/0!</v>
      </c>
      <c r="E5" s="57" t="e">
        <f t="shared" si="1"/>
        <v>#DIV/0!</v>
      </c>
    </row>
    <row r="6" spans="1:5" ht="15.75" x14ac:dyDescent="0.25">
      <c r="A6" s="56" t="s">
        <v>33</v>
      </c>
      <c r="B6" s="81" t="e">
        <f t="shared" ref="B6:C6" si="2">INTERCEPT(B21:B1015,$A21:$A1015)</f>
        <v>#DIV/0!</v>
      </c>
      <c r="C6" s="81" t="e">
        <f t="shared" si="2"/>
        <v>#DIV/0!</v>
      </c>
      <c r="D6" s="57" t="e">
        <f t="shared" ref="D6:E6" si="3">INTERCEPT(D21:D1012,$A21:$A1012)</f>
        <v>#DIV/0!</v>
      </c>
      <c r="E6" s="57" t="e">
        <f t="shared" si="3"/>
        <v>#DIV/0!</v>
      </c>
    </row>
    <row r="7" spans="1:5" ht="15.75" x14ac:dyDescent="0.25">
      <c r="A7" s="58">
        <v>40330</v>
      </c>
      <c r="B7" s="81" t="str">
        <f>IF(COUNT(B465:B476)=0,"",AVERAGE(B465:B476))</f>
        <v/>
      </c>
      <c r="C7" s="81" t="str">
        <f>IF(SUM(C465:C476)=0,"",SUM(C465:C476))</f>
        <v/>
      </c>
      <c r="D7" s="57" t="str">
        <f>IF(COUNT(D465:D476)=0,"",AVERAGE(D465:D476))</f>
        <v/>
      </c>
      <c r="E7" s="57" t="str">
        <f>IF(SUM(E465:E476)=0,"",SUM(E465:E476))</f>
        <v/>
      </c>
    </row>
    <row r="8" spans="1:5" ht="15.75" x14ac:dyDescent="0.25">
      <c r="A8" s="58">
        <v>40695</v>
      </c>
      <c r="B8" s="81">
        <f>IF(COUNT(B477:B488)=0,"",AVERAGE(B477:B488))</f>
        <v>4444</v>
      </c>
      <c r="C8" s="81" t="str">
        <f>IF(SUM(C477:C488)=0,"",SUM(C477:C488))</f>
        <v/>
      </c>
      <c r="D8" s="57">
        <f>IF(COUNT(D477:D488)=0,"",AVERAGE(D477:D488))</f>
        <v>770.3</v>
      </c>
      <c r="E8" s="57" t="str">
        <f>IF(SUM(E477:E488)=0,"",SUM(E477:E488))</f>
        <v/>
      </c>
    </row>
    <row r="9" spans="1:5" ht="15.75" x14ac:dyDescent="0.25">
      <c r="A9" s="58">
        <v>41061</v>
      </c>
      <c r="B9" s="81" t="str">
        <f>IF(COUNT(B489:B500)=0,"",AVERAGE(B489:B500))</f>
        <v/>
      </c>
      <c r="C9" s="81" t="str">
        <f>IF(SUM(C489:C500)=0,"",SUM(C489:C500))</f>
        <v/>
      </c>
      <c r="D9" s="57" t="str">
        <f>IF(COUNT(D489:D500)=0,"",AVERAGE(D489:D500))</f>
        <v/>
      </c>
      <c r="E9" s="57" t="str">
        <f>IF(SUM(E489:E500)=0,"",SUM(E489:E500))</f>
        <v/>
      </c>
    </row>
    <row r="10" spans="1:5" ht="15.75" x14ac:dyDescent="0.25">
      <c r="A10" s="60">
        <v>41426</v>
      </c>
      <c r="B10" s="81" t="str">
        <f>IF(COUNT(B501:B512)=0,"",AVERAGE(B501:B512))</f>
        <v/>
      </c>
      <c r="C10" s="81" t="str">
        <f>IF(SUM(C501:C512)=0,"",SUM(C501:C512))</f>
        <v/>
      </c>
      <c r="D10" s="57" t="str">
        <f>IF(COUNT(D501:D512)=0,"",AVERAGE(D501:D512))</f>
        <v/>
      </c>
      <c r="E10" s="57" t="str">
        <f>IF(SUM(E501:E512)=0,"",SUM(E501:E512))</f>
        <v/>
      </c>
    </row>
    <row r="11" spans="1:5" ht="15.75" x14ac:dyDescent="0.25">
      <c r="A11" s="58">
        <v>41791</v>
      </c>
      <c r="B11" s="81" t="str">
        <f>IF(COUNT(B513:B524)=0,"",AVERAGE(B513:B524))</f>
        <v/>
      </c>
      <c r="C11" s="81" t="str">
        <f>IF(SUM(C513:C524)=0,"",SUM(C513:C524))</f>
        <v/>
      </c>
      <c r="D11" s="57" t="str">
        <f>IF(COUNT(D513:D524)=0,"",AVERAGE(D513:D524))</f>
        <v/>
      </c>
      <c r="E11" s="57" t="str">
        <f>IF(SUM(E513:E524)=0,"",SUM(E513:E524))</f>
        <v/>
      </c>
    </row>
    <row r="12" spans="1:5" ht="15.75" x14ac:dyDescent="0.25">
      <c r="A12" s="58">
        <v>42156</v>
      </c>
      <c r="B12" s="81" t="str">
        <f>IF(COUNT(B525:B536)=0,"",AVERAGE(B525:B536))</f>
        <v/>
      </c>
      <c r="C12" s="81" t="str">
        <f>IF(SUM(C525:C536)=0,"",SUM(C525:C536))</f>
        <v/>
      </c>
      <c r="D12" s="57" t="str">
        <f>IF(COUNT(D525:D536)=0,"",AVERAGE(D525:D536))</f>
        <v/>
      </c>
      <c r="E12" s="57" t="str">
        <f>IF(SUM(E525:E536)=0,"",SUM(E525:E536))</f>
        <v/>
      </c>
    </row>
    <row r="13" spans="1:5" ht="15.75" x14ac:dyDescent="0.25">
      <c r="A13" s="58">
        <v>42522</v>
      </c>
      <c r="B13" s="81" t="str">
        <f>IF(COUNT(B537:B548)=0,"",AVERAGE(B537:B548))</f>
        <v/>
      </c>
      <c r="C13" s="81" t="str">
        <f>IF(SUM(C537:C548)=0,"",SUM(C537:C548))</f>
        <v/>
      </c>
      <c r="D13" s="57" t="str">
        <f>IF(COUNT(D537:D548)=0,"",AVERAGE(D537:D548))</f>
        <v/>
      </c>
      <c r="E13" s="57" t="str">
        <f>IF(SUM(E537:E548)=0,"",SUM(E537:E548))</f>
        <v/>
      </c>
    </row>
    <row r="14" spans="1:5" ht="15.75" x14ac:dyDescent="0.25">
      <c r="A14" s="58">
        <v>42887</v>
      </c>
      <c r="B14" s="81" t="str">
        <f>IF(COUNT(B549:B560)=0,"",AVERAGE(B549:B560))</f>
        <v/>
      </c>
      <c r="C14" s="81" t="str">
        <f>IF(SUM(C549:C560)=0,"",SUM(C549:C560))</f>
        <v/>
      </c>
      <c r="D14" s="57" t="str">
        <f>IF(COUNT(D549:D560)=0,"",AVERAGE(D549:D560))</f>
        <v/>
      </c>
      <c r="E14" s="57" t="str">
        <f>IF(SUM(E549:E560)=0,"",SUM(E549:E560))</f>
        <v/>
      </c>
    </row>
    <row r="15" spans="1:5" ht="15.75" x14ac:dyDescent="0.25">
      <c r="A15" s="58">
        <v>43252</v>
      </c>
      <c r="B15" s="81" t="str">
        <f>IF(COUNT(B561:B572)=0,"",AVERAGE(B561:B572))</f>
        <v/>
      </c>
      <c r="C15" s="81" t="str">
        <f>IF(SUM(C561:C572)=0,"",SUM(C561:C572))</f>
        <v/>
      </c>
      <c r="D15" s="57" t="str">
        <f>IF(COUNT(D561:D572)=0,"",AVERAGE(D561:D572))</f>
        <v/>
      </c>
      <c r="E15" s="57" t="str">
        <f>IF(SUM(E561:E572)=0,"",SUM(E561:E572))</f>
        <v/>
      </c>
    </row>
    <row r="16" spans="1:5" ht="15.75" x14ac:dyDescent="0.25">
      <c r="A16" s="58">
        <v>43617</v>
      </c>
      <c r="B16" s="81" t="str">
        <f>IF(COUNT(B573:B584)=0,"",AVERAGE(B573:B584))</f>
        <v/>
      </c>
      <c r="C16" s="81" t="str">
        <f>IF(SUM(C573:C584)=0,"",SUM(C573:C584))</f>
        <v/>
      </c>
      <c r="D16" s="57" t="str">
        <f>IF(COUNT(D573:D584)=0,"",AVERAGE(D573:D584))</f>
        <v/>
      </c>
      <c r="E16" s="57" t="str">
        <f>IF(SUM(E573:E584)=0,"",SUM(E573:E584))</f>
        <v/>
      </c>
    </row>
    <row r="17" spans="1:5" ht="15.75" x14ac:dyDescent="0.25">
      <c r="A17" s="58">
        <v>43983</v>
      </c>
      <c r="B17" s="81" t="str">
        <f t="shared" ref="B17" si="4">IF(COUNT(B585:B596)=0,"",AVERAGE(B585:B596))</f>
        <v/>
      </c>
      <c r="C17" s="81" t="str">
        <f t="shared" ref="C17" si="5">IF(SUM(C585:C596)=0,"",SUM(C585:C596))</f>
        <v/>
      </c>
      <c r="D17" s="61" t="str">
        <f t="shared" ref="D17" si="6">IF(COUNT(D585:D596)=0,"",AVERAGE(D585:D596))</f>
        <v/>
      </c>
      <c r="E17" s="59" t="str">
        <f t="shared" ref="E17" si="7">IF(SUM(E585:E596)=0,"",SUM(E585:E596))</f>
        <v/>
      </c>
    </row>
    <row r="18" spans="1:5" ht="15.75" x14ac:dyDescent="0.25">
      <c r="A18" s="58">
        <v>44348</v>
      </c>
      <c r="B18" s="81" t="str">
        <f t="shared" ref="B18" si="8">IF(COUNT(B597:B608)=0,"",AVERAGE(B597:B608))</f>
        <v/>
      </c>
      <c r="C18" s="81" t="str">
        <f t="shared" ref="C18" si="9">IF(SUM(C597:C608)=0,"",SUM(C597:C608))</f>
        <v/>
      </c>
      <c r="D18" s="61" t="str">
        <f t="shared" ref="D18" si="10">IF(COUNT(D597:D608)=0,"",AVERAGE(D597:D608))</f>
        <v/>
      </c>
      <c r="E18" s="59" t="str">
        <f t="shared" ref="E18" si="11">IF(SUM(E597:E608)=0,"",SUM(E597:E608))</f>
        <v/>
      </c>
    </row>
    <row r="19" spans="1:5" ht="15.75" x14ac:dyDescent="0.25">
      <c r="A19" s="58">
        <v>44713</v>
      </c>
      <c r="B19" s="81" t="str">
        <f t="shared" ref="B19" si="12">IF(COUNT(B609:B620)=0,"",AVERAGE(B609:B620))</f>
        <v/>
      </c>
      <c r="C19" s="81" t="str">
        <f>IF(SUM(C609:C620)=0,"",SUM(C609:C620))</f>
        <v/>
      </c>
      <c r="D19" s="61" t="str">
        <f t="shared" ref="D19" si="13">IF(COUNT(D609:D620)=0,"",AVERAGE(D609:D620))</f>
        <v/>
      </c>
      <c r="E19" s="59" t="str">
        <f t="shared" ref="E19" si="14">IF(SUM(E609:E620)=0,"",SUM(E609:E620))</f>
        <v/>
      </c>
    </row>
    <row r="20" spans="1:5" ht="15.75" x14ac:dyDescent="0.25">
      <c r="A20" s="58">
        <v>45078</v>
      </c>
      <c r="B20" s="81" t="str">
        <f t="shared" ref="B20" si="15">IF(COUNT(B621:B628)=0,"",AVERAGE(B621:B628))</f>
        <v/>
      </c>
      <c r="C20" s="81" t="str">
        <f t="shared" ref="C20" si="16">IF(SUM(C621:C628)=0,"",SUM(C621:C628))</f>
        <v/>
      </c>
      <c r="D20" s="61" t="str">
        <f t="shared" ref="D20" si="17">IF(COUNT(D621:D628)=0,"",AVERAGE(D621:D628))</f>
        <v/>
      </c>
      <c r="E20" s="59" t="str">
        <f t="shared" ref="E20" si="18">IF(SUM(E621:E628)=0,"",SUM(E621:E628))</f>
        <v/>
      </c>
    </row>
    <row r="21" spans="1:5" ht="15.75" x14ac:dyDescent="0.25">
      <c r="A21" s="62">
        <v>26665</v>
      </c>
      <c r="B21" s="12"/>
      <c r="C21" s="6"/>
      <c r="D21" s="7"/>
      <c r="E21" s="10"/>
    </row>
    <row r="22" spans="1:5" ht="15.75" x14ac:dyDescent="0.25">
      <c r="A22" s="62">
        <v>26696</v>
      </c>
      <c r="B22" s="12"/>
      <c r="C22" s="6"/>
      <c r="D22" s="7"/>
      <c r="E22" s="10"/>
    </row>
    <row r="23" spans="1:5" ht="15.75" x14ac:dyDescent="0.25">
      <c r="A23" s="62">
        <v>26724</v>
      </c>
      <c r="B23" s="12"/>
      <c r="C23" s="6"/>
      <c r="D23" s="7"/>
      <c r="E23" s="10"/>
    </row>
    <row r="24" spans="1:5" ht="15.75" x14ac:dyDescent="0.25">
      <c r="A24" s="62">
        <v>26755</v>
      </c>
      <c r="B24" s="12"/>
      <c r="C24" s="6"/>
      <c r="D24" s="7"/>
      <c r="E24" s="10"/>
    </row>
    <row r="25" spans="1:5" ht="15.75" x14ac:dyDescent="0.25">
      <c r="A25" s="62">
        <v>26785</v>
      </c>
      <c r="B25" s="12"/>
      <c r="C25" s="6"/>
      <c r="D25" s="7"/>
      <c r="E25" s="10"/>
    </row>
    <row r="26" spans="1:5" ht="15.75" x14ac:dyDescent="0.25">
      <c r="A26" s="62">
        <v>26816</v>
      </c>
      <c r="B26" s="12"/>
      <c r="C26" s="6"/>
      <c r="D26" s="7"/>
      <c r="E26" s="10"/>
    </row>
    <row r="27" spans="1:5" ht="15.75" x14ac:dyDescent="0.25">
      <c r="A27" s="62">
        <v>26846</v>
      </c>
      <c r="B27" s="12"/>
      <c r="C27" s="6"/>
      <c r="D27" s="7"/>
      <c r="E27" s="10"/>
    </row>
    <row r="28" spans="1:5" ht="15.75" x14ac:dyDescent="0.25">
      <c r="A28" s="62">
        <v>26877</v>
      </c>
      <c r="B28" s="12"/>
      <c r="C28" s="6"/>
      <c r="D28" s="7"/>
      <c r="E28" s="10"/>
    </row>
    <row r="29" spans="1:5" ht="15.75" x14ac:dyDescent="0.25">
      <c r="A29" s="62">
        <v>26908</v>
      </c>
      <c r="B29" s="12"/>
      <c r="C29" s="6"/>
      <c r="D29" s="7"/>
      <c r="E29" s="10"/>
    </row>
    <row r="30" spans="1:5" ht="15.75" x14ac:dyDescent="0.25">
      <c r="A30" s="62">
        <v>26938</v>
      </c>
      <c r="B30" s="12"/>
      <c r="C30" s="6"/>
      <c r="D30" s="7"/>
      <c r="E30" s="10"/>
    </row>
    <row r="31" spans="1:5" ht="15.75" x14ac:dyDescent="0.25">
      <c r="A31" s="62">
        <v>26969</v>
      </c>
      <c r="B31" s="12"/>
      <c r="C31" s="6"/>
      <c r="D31" s="7"/>
      <c r="E31" s="10"/>
    </row>
    <row r="32" spans="1:5" ht="15.75" x14ac:dyDescent="0.25">
      <c r="A32" s="62">
        <v>26999</v>
      </c>
      <c r="B32" s="12"/>
      <c r="C32" s="6"/>
      <c r="D32" s="7"/>
      <c r="E32" s="10"/>
    </row>
    <row r="33" spans="1:5" ht="15.75" x14ac:dyDescent="0.25">
      <c r="A33" s="62">
        <v>27030</v>
      </c>
      <c r="B33" s="12"/>
      <c r="C33" s="6"/>
      <c r="D33" s="7"/>
      <c r="E33" s="10"/>
    </row>
    <row r="34" spans="1:5" ht="15.75" x14ac:dyDescent="0.25">
      <c r="A34" s="62">
        <v>27061</v>
      </c>
      <c r="B34" s="12"/>
      <c r="C34" s="6"/>
      <c r="D34" s="7"/>
      <c r="E34" s="10"/>
    </row>
    <row r="35" spans="1:5" ht="15.75" x14ac:dyDescent="0.25">
      <c r="A35" s="62">
        <v>27089</v>
      </c>
      <c r="B35" s="12"/>
      <c r="C35" s="6"/>
      <c r="D35" s="7"/>
      <c r="E35" s="10"/>
    </row>
    <row r="36" spans="1:5" ht="15.75" x14ac:dyDescent="0.25">
      <c r="A36" s="62">
        <v>27120</v>
      </c>
      <c r="B36" s="12"/>
      <c r="C36" s="6"/>
      <c r="D36" s="7"/>
      <c r="E36" s="10"/>
    </row>
    <row r="37" spans="1:5" ht="15.75" x14ac:dyDescent="0.25">
      <c r="A37" s="62">
        <v>27150</v>
      </c>
      <c r="B37" s="12"/>
      <c r="C37" s="6"/>
      <c r="D37" s="7"/>
      <c r="E37" s="10"/>
    </row>
    <row r="38" spans="1:5" ht="15.75" x14ac:dyDescent="0.25">
      <c r="A38" s="62">
        <v>27181</v>
      </c>
      <c r="B38" s="12"/>
      <c r="C38" s="6"/>
      <c r="D38" s="7"/>
      <c r="E38" s="10"/>
    </row>
    <row r="39" spans="1:5" ht="15.75" x14ac:dyDescent="0.25">
      <c r="A39" s="62">
        <v>27211</v>
      </c>
      <c r="B39" s="12"/>
      <c r="C39" s="6"/>
      <c r="D39" s="7"/>
      <c r="E39" s="10"/>
    </row>
    <row r="40" spans="1:5" ht="15.75" x14ac:dyDescent="0.25">
      <c r="A40" s="62">
        <v>27242</v>
      </c>
      <c r="B40" s="12"/>
      <c r="C40" s="6"/>
      <c r="D40" s="7"/>
      <c r="E40" s="10"/>
    </row>
    <row r="41" spans="1:5" ht="15.75" x14ac:dyDescent="0.25">
      <c r="A41" s="62">
        <v>27273</v>
      </c>
      <c r="B41" s="12"/>
      <c r="C41" s="6"/>
      <c r="D41" s="7"/>
      <c r="E41" s="10"/>
    </row>
    <row r="42" spans="1:5" ht="15.75" x14ac:dyDescent="0.25">
      <c r="A42" s="62">
        <v>27303</v>
      </c>
      <c r="B42" s="12"/>
      <c r="C42" s="6"/>
      <c r="D42" s="7"/>
      <c r="E42" s="10"/>
    </row>
    <row r="43" spans="1:5" ht="15.75" x14ac:dyDescent="0.25">
      <c r="A43" s="62">
        <v>27334</v>
      </c>
      <c r="B43" s="12"/>
      <c r="C43" s="6"/>
      <c r="D43" s="7"/>
      <c r="E43" s="10"/>
    </row>
    <row r="44" spans="1:5" ht="15.75" x14ac:dyDescent="0.25">
      <c r="A44" s="62">
        <v>27364</v>
      </c>
      <c r="B44" s="12"/>
      <c r="C44" s="6"/>
      <c r="D44" s="7"/>
      <c r="E44" s="10"/>
    </row>
    <row r="45" spans="1:5" ht="15.75" x14ac:dyDescent="0.25">
      <c r="A45" s="62">
        <v>27395</v>
      </c>
      <c r="B45" s="12"/>
      <c r="C45" s="6"/>
      <c r="D45" s="7"/>
      <c r="E45" s="10"/>
    </row>
    <row r="46" spans="1:5" ht="15.75" x14ac:dyDescent="0.25">
      <c r="A46" s="62">
        <v>27426</v>
      </c>
      <c r="B46" s="12"/>
      <c r="C46" s="6"/>
      <c r="D46" s="7"/>
      <c r="E46" s="10"/>
    </row>
    <row r="47" spans="1:5" ht="15.75" x14ac:dyDescent="0.25">
      <c r="A47" s="62">
        <v>27454</v>
      </c>
      <c r="B47" s="12"/>
      <c r="C47" s="6"/>
      <c r="D47" s="7"/>
      <c r="E47" s="10"/>
    </row>
    <row r="48" spans="1:5" ht="15.75" x14ac:dyDescent="0.25">
      <c r="A48" s="62">
        <v>27485</v>
      </c>
      <c r="B48" s="12"/>
      <c r="C48" s="6"/>
      <c r="D48" s="7"/>
      <c r="E48" s="10"/>
    </row>
    <row r="49" spans="1:5" ht="15.75" x14ac:dyDescent="0.25">
      <c r="A49" s="62">
        <v>27515</v>
      </c>
      <c r="B49" s="12"/>
      <c r="C49" s="6"/>
      <c r="D49" s="7"/>
      <c r="E49" s="10"/>
    </row>
    <row r="50" spans="1:5" ht="15.75" x14ac:dyDescent="0.25">
      <c r="A50" s="62">
        <v>27546</v>
      </c>
      <c r="B50" s="12"/>
      <c r="C50" s="6"/>
      <c r="D50" s="7"/>
      <c r="E50" s="10"/>
    </row>
    <row r="51" spans="1:5" ht="15.75" x14ac:dyDescent="0.25">
      <c r="A51" s="62">
        <v>27576</v>
      </c>
      <c r="B51" s="12"/>
      <c r="C51" s="6"/>
      <c r="D51" s="7"/>
      <c r="E51" s="10"/>
    </row>
    <row r="52" spans="1:5" ht="15.75" x14ac:dyDescent="0.25">
      <c r="A52" s="62">
        <v>27607</v>
      </c>
      <c r="B52" s="12"/>
      <c r="C52" s="6"/>
      <c r="D52" s="7"/>
      <c r="E52" s="10"/>
    </row>
    <row r="53" spans="1:5" ht="15.75" x14ac:dyDescent="0.25">
      <c r="A53" s="62">
        <v>27638</v>
      </c>
      <c r="B53" s="12"/>
      <c r="C53" s="6"/>
      <c r="D53" s="7"/>
      <c r="E53" s="10"/>
    </row>
    <row r="54" spans="1:5" ht="15.75" x14ac:dyDescent="0.25">
      <c r="A54" s="62">
        <v>27668</v>
      </c>
      <c r="B54" s="12"/>
      <c r="C54" s="6"/>
      <c r="D54" s="7"/>
      <c r="E54" s="10"/>
    </row>
    <row r="55" spans="1:5" ht="15.75" x14ac:dyDescent="0.25">
      <c r="A55" s="62">
        <v>27699</v>
      </c>
      <c r="B55" s="12"/>
      <c r="C55" s="6"/>
      <c r="D55" s="7"/>
      <c r="E55" s="10"/>
    </row>
    <row r="56" spans="1:5" ht="15.75" x14ac:dyDescent="0.25">
      <c r="A56" s="62">
        <v>27729</v>
      </c>
      <c r="B56" s="12"/>
      <c r="C56" s="6"/>
      <c r="D56" s="7"/>
      <c r="E56" s="10"/>
    </row>
    <row r="57" spans="1:5" ht="15.75" x14ac:dyDescent="0.25">
      <c r="A57" s="62">
        <v>27760</v>
      </c>
      <c r="B57" s="12"/>
      <c r="C57" s="6"/>
      <c r="D57" s="7"/>
      <c r="E57" s="10"/>
    </row>
    <row r="58" spans="1:5" ht="15.75" x14ac:dyDescent="0.25">
      <c r="A58" s="62">
        <v>27791</v>
      </c>
      <c r="B58" s="12"/>
      <c r="C58" s="6"/>
      <c r="D58" s="7"/>
      <c r="E58" s="10"/>
    </row>
    <row r="59" spans="1:5" ht="15.75" x14ac:dyDescent="0.25">
      <c r="A59" s="62">
        <v>27820</v>
      </c>
      <c r="B59" s="12"/>
      <c r="C59" s="6"/>
      <c r="D59" s="7"/>
      <c r="E59" s="10"/>
    </row>
    <row r="60" spans="1:5" ht="15.75" x14ac:dyDescent="0.25">
      <c r="A60" s="62">
        <v>27851</v>
      </c>
      <c r="B60" s="12"/>
      <c r="C60" s="6"/>
      <c r="D60" s="7"/>
      <c r="E60" s="10"/>
    </row>
    <row r="61" spans="1:5" ht="15.75" x14ac:dyDescent="0.25">
      <c r="A61" s="62">
        <v>27881</v>
      </c>
      <c r="B61" s="12"/>
      <c r="C61" s="6"/>
      <c r="D61" s="7"/>
      <c r="E61" s="10"/>
    </row>
    <row r="62" spans="1:5" ht="15.75" x14ac:dyDescent="0.25">
      <c r="A62" s="62">
        <v>27912</v>
      </c>
      <c r="B62" s="12"/>
      <c r="C62" s="6"/>
      <c r="D62" s="7"/>
      <c r="E62" s="10"/>
    </row>
    <row r="63" spans="1:5" ht="15.75" x14ac:dyDescent="0.25">
      <c r="A63" s="62">
        <v>27942</v>
      </c>
      <c r="B63" s="12"/>
      <c r="C63" s="6"/>
      <c r="D63" s="7"/>
      <c r="E63" s="10"/>
    </row>
    <row r="64" spans="1:5" ht="15.75" x14ac:dyDescent="0.25">
      <c r="A64" s="62">
        <v>27973</v>
      </c>
      <c r="B64" s="12"/>
      <c r="C64" s="6"/>
      <c r="D64" s="7"/>
      <c r="E64" s="10"/>
    </row>
    <row r="65" spans="1:5" ht="15.75" x14ac:dyDescent="0.25">
      <c r="A65" s="62">
        <v>28004</v>
      </c>
      <c r="B65" s="12"/>
      <c r="C65" s="6"/>
      <c r="D65" s="7"/>
      <c r="E65" s="10"/>
    </row>
    <row r="66" spans="1:5" ht="15.75" x14ac:dyDescent="0.25">
      <c r="A66" s="62">
        <v>28034</v>
      </c>
      <c r="B66" s="12"/>
      <c r="C66" s="6"/>
      <c r="D66" s="7"/>
      <c r="E66" s="10"/>
    </row>
    <row r="67" spans="1:5" ht="15.75" x14ac:dyDescent="0.25">
      <c r="A67" s="62">
        <v>28065</v>
      </c>
      <c r="B67" s="12"/>
      <c r="C67" s="6"/>
      <c r="D67" s="7"/>
      <c r="E67" s="10"/>
    </row>
    <row r="68" spans="1:5" ht="15.75" x14ac:dyDescent="0.25">
      <c r="A68" s="62">
        <v>28095</v>
      </c>
      <c r="B68" s="12"/>
      <c r="C68" s="6"/>
      <c r="D68" s="7"/>
      <c r="E68" s="10"/>
    </row>
    <row r="69" spans="1:5" ht="15.75" x14ac:dyDescent="0.25">
      <c r="A69" s="62">
        <v>28126</v>
      </c>
      <c r="B69" s="12"/>
      <c r="C69" s="6"/>
      <c r="D69" s="7"/>
      <c r="E69" s="10"/>
    </row>
    <row r="70" spans="1:5" ht="15.75" x14ac:dyDescent="0.25">
      <c r="A70" s="62">
        <v>28157</v>
      </c>
      <c r="B70" s="12"/>
      <c r="C70" s="6"/>
      <c r="D70" s="7"/>
      <c r="E70" s="10"/>
    </row>
    <row r="71" spans="1:5" ht="15.75" x14ac:dyDescent="0.25">
      <c r="A71" s="62">
        <v>28185</v>
      </c>
      <c r="B71" s="12"/>
      <c r="C71" s="6"/>
      <c r="D71" s="7"/>
      <c r="E71" s="10"/>
    </row>
    <row r="72" spans="1:5" ht="15.75" x14ac:dyDescent="0.25">
      <c r="A72" s="62">
        <v>28216</v>
      </c>
      <c r="B72" s="12"/>
      <c r="C72" s="6"/>
      <c r="D72" s="7"/>
      <c r="E72" s="10"/>
    </row>
    <row r="73" spans="1:5" ht="15.75" x14ac:dyDescent="0.25">
      <c r="A73" s="62">
        <v>28246</v>
      </c>
      <c r="B73" s="12"/>
      <c r="C73" s="6"/>
      <c r="D73" s="7"/>
      <c r="E73" s="10"/>
    </row>
    <row r="74" spans="1:5" ht="15.75" x14ac:dyDescent="0.25">
      <c r="A74" s="62">
        <v>28277</v>
      </c>
      <c r="B74" s="12"/>
      <c r="C74" s="6"/>
      <c r="D74" s="7"/>
      <c r="E74" s="10"/>
    </row>
    <row r="75" spans="1:5" ht="15.75" x14ac:dyDescent="0.25">
      <c r="A75" s="62">
        <v>28307</v>
      </c>
      <c r="B75" s="12"/>
      <c r="C75" s="6"/>
      <c r="D75" s="7"/>
      <c r="E75" s="10"/>
    </row>
    <row r="76" spans="1:5" ht="15.75" x14ac:dyDescent="0.25">
      <c r="A76" s="62">
        <v>28338</v>
      </c>
      <c r="B76" s="12"/>
      <c r="C76" s="6"/>
      <c r="D76" s="7"/>
      <c r="E76" s="10"/>
    </row>
    <row r="77" spans="1:5" ht="15.75" x14ac:dyDescent="0.25">
      <c r="A77" s="62">
        <v>28369</v>
      </c>
      <c r="B77" s="12"/>
      <c r="C77" s="6"/>
      <c r="D77" s="7"/>
      <c r="E77" s="10"/>
    </row>
    <row r="78" spans="1:5" ht="15.75" x14ac:dyDescent="0.25">
      <c r="A78" s="62">
        <v>28399</v>
      </c>
      <c r="B78" s="12"/>
      <c r="C78" s="6"/>
      <c r="D78" s="7"/>
      <c r="E78" s="10"/>
    </row>
    <row r="79" spans="1:5" ht="15.75" x14ac:dyDescent="0.25">
      <c r="A79" s="62">
        <v>28430</v>
      </c>
      <c r="B79" s="12"/>
      <c r="C79" s="6"/>
      <c r="D79" s="7"/>
      <c r="E79" s="10"/>
    </row>
    <row r="80" spans="1:5" ht="15.75" x14ac:dyDescent="0.25">
      <c r="A80" s="62">
        <v>28460</v>
      </c>
      <c r="B80" s="12"/>
      <c r="C80" s="6"/>
      <c r="D80" s="7"/>
      <c r="E80" s="10"/>
    </row>
    <row r="81" spans="1:5" ht="15.75" x14ac:dyDescent="0.25">
      <c r="A81" s="62">
        <v>28491</v>
      </c>
      <c r="B81" s="12"/>
      <c r="C81" s="6"/>
      <c r="D81" s="7"/>
      <c r="E81" s="10"/>
    </row>
    <row r="82" spans="1:5" ht="15.75" x14ac:dyDescent="0.25">
      <c r="A82" s="62">
        <v>28522</v>
      </c>
      <c r="B82" s="12"/>
      <c r="C82" s="6"/>
      <c r="D82" s="7"/>
      <c r="E82" s="10"/>
    </row>
    <row r="83" spans="1:5" ht="15.75" x14ac:dyDescent="0.25">
      <c r="A83" s="62">
        <v>28550</v>
      </c>
      <c r="B83" s="12"/>
      <c r="C83" s="6"/>
      <c r="D83" s="7"/>
      <c r="E83" s="10"/>
    </row>
    <row r="84" spans="1:5" ht="15.75" x14ac:dyDescent="0.25">
      <c r="A84" s="62">
        <v>28581</v>
      </c>
      <c r="B84" s="12"/>
      <c r="C84" s="6"/>
      <c r="D84" s="7"/>
      <c r="E84" s="10"/>
    </row>
    <row r="85" spans="1:5" ht="15.75" x14ac:dyDescent="0.25">
      <c r="A85" s="62">
        <v>28611</v>
      </c>
      <c r="B85" s="12"/>
      <c r="C85" s="6"/>
      <c r="D85" s="7"/>
      <c r="E85" s="10"/>
    </row>
    <row r="86" spans="1:5" ht="15.75" x14ac:dyDescent="0.25">
      <c r="A86" s="62">
        <v>28642</v>
      </c>
      <c r="B86" s="12"/>
      <c r="C86" s="6"/>
      <c r="D86" s="7"/>
      <c r="E86" s="10"/>
    </row>
    <row r="87" spans="1:5" ht="15.75" x14ac:dyDescent="0.25">
      <c r="A87" s="62">
        <v>28672</v>
      </c>
      <c r="B87" s="12"/>
      <c r="C87" s="6"/>
      <c r="D87" s="7"/>
      <c r="E87" s="10"/>
    </row>
    <row r="88" spans="1:5" ht="15.75" x14ac:dyDescent="0.25">
      <c r="A88" s="62">
        <v>28703</v>
      </c>
      <c r="B88" s="12"/>
      <c r="C88" s="6"/>
      <c r="D88" s="7"/>
      <c r="E88" s="10"/>
    </row>
    <row r="89" spans="1:5" ht="15.75" x14ac:dyDescent="0.25">
      <c r="A89" s="62">
        <v>28734</v>
      </c>
      <c r="B89" s="12"/>
      <c r="C89" s="6"/>
      <c r="D89" s="7"/>
      <c r="E89" s="10"/>
    </row>
    <row r="90" spans="1:5" ht="15.75" x14ac:dyDescent="0.25">
      <c r="A90" s="62">
        <v>28764</v>
      </c>
      <c r="B90" s="12"/>
      <c r="C90" s="6"/>
      <c r="D90" s="7"/>
      <c r="E90" s="10"/>
    </row>
    <row r="91" spans="1:5" ht="15.75" x14ac:dyDescent="0.25">
      <c r="A91" s="62">
        <v>28795</v>
      </c>
      <c r="B91" s="12"/>
      <c r="C91" s="6"/>
      <c r="D91" s="7"/>
      <c r="E91" s="10"/>
    </row>
    <row r="92" spans="1:5" ht="15.75" x14ac:dyDescent="0.25">
      <c r="A92" s="62">
        <v>28825</v>
      </c>
      <c r="B92" s="12"/>
      <c r="C92" s="6"/>
      <c r="D92" s="7"/>
      <c r="E92" s="10"/>
    </row>
    <row r="93" spans="1:5" ht="15.75" x14ac:dyDescent="0.25">
      <c r="A93" s="62">
        <v>28856</v>
      </c>
      <c r="B93" s="12"/>
      <c r="C93" s="6"/>
      <c r="D93" s="7"/>
      <c r="E93" s="10"/>
    </row>
    <row r="94" spans="1:5" ht="15.75" x14ac:dyDescent="0.25">
      <c r="A94" s="62">
        <v>28887</v>
      </c>
      <c r="B94" s="12"/>
      <c r="C94" s="6"/>
      <c r="D94" s="7"/>
      <c r="E94" s="10"/>
    </row>
    <row r="95" spans="1:5" ht="15.75" x14ac:dyDescent="0.25">
      <c r="A95" s="62">
        <v>28915</v>
      </c>
      <c r="B95" s="12"/>
      <c r="C95" s="6"/>
      <c r="D95" s="7"/>
      <c r="E95" s="10"/>
    </row>
    <row r="96" spans="1:5" ht="15.75" x14ac:dyDescent="0.25">
      <c r="A96" s="62">
        <v>28946</v>
      </c>
      <c r="B96" s="12"/>
      <c r="C96" s="6"/>
      <c r="D96" s="7"/>
      <c r="E96" s="10"/>
    </row>
    <row r="97" spans="1:5" ht="15.75" x14ac:dyDescent="0.25">
      <c r="A97" s="62">
        <v>28976</v>
      </c>
      <c r="B97" s="12"/>
      <c r="C97" s="6"/>
      <c r="D97" s="7"/>
      <c r="E97" s="10"/>
    </row>
    <row r="98" spans="1:5" ht="15.75" x14ac:dyDescent="0.25">
      <c r="A98" s="62">
        <v>29007</v>
      </c>
      <c r="B98" s="12"/>
      <c r="C98" s="6"/>
      <c r="D98" s="7"/>
      <c r="E98" s="10"/>
    </row>
    <row r="99" spans="1:5" ht="15.75" x14ac:dyDescent="0.25">
      <c r="A99" s="62">
        <v>29037</v>
      </c>
      <c r="B99" s="12"/>
      <c r="C99" s="6"/>
      <c r="D99" s="7"/>
      <c r="E99" s="10"/>
    </row>
    <row r="100" spans="1:5" ht="15.75" x14ac:dyDescent="0.25">
      <c r="A100" s="62">
        <v>29068</v>
      </c>
      <c r="B100" s="12"/>
      <c r="C100" s="6"/>
      <c r="D100" s="7"/>
      <c r="E100" s="10"/>
    </row>
    <row r="101" spans="1:5" ht="15.75" x14ac:dyDescent="0.25">
      <c r="A101" s="62">
        <v>29099</v>
      </c>
      <c r="B101" s="12"/>
      <c r="C101" s="6"/>
      <c r="D101" s="7"/>
      <c r="E101" s="10"/>
    </row>
    <row r="102" spans="1:5" ht="15.75" x14ac:dyDescent="0.25">
      <c r="A102" s="62">
        <v>29129</v>
      </c>
      <c r="B102" s="12"/>
      <c r="C102" s="6"/>
      <c r="D102" s="7"/>
      <c r="E102" s="10"/>
    </row>
    <row r="103" spans="1:5" ht="15.75" x14ac:dyDescent="0.25">
      <c r="A103" s="62">
        <v>29160</v>
      </c>
      <c r="B103" s="12"/>
      <c r="C103" s="6"/>
      <c r="D103" s="7"/>
      <c r="E103" s="10"/>
    </row>
    <row r="104" spans="1:5" ht="15.75" x14ac:dyDescent="0.25">
      <c r="A104" s="62">
        <v>29190</v>
      </c>
      <c r="B104" s="12"/>
      <c r="C104" s="6"/>
      <c r="D104" s="7"/>
      <c r="E104" s="10"/>
    </row>
    <row r="105" spans="1:5" ht="15.75" x14ac:dyDescent="0.25">
      <c r="A105" s="62">
        <v>29221</v>
      </c>
      <c r="B105" s="12"/>
      <c r="C105" s="6"/>
      <c r="D105" s="7"/>
      <c r="E105" s="10"/>
    </row>
    <row r="106" spans="1:5" ht="15.75" x14ac:dyDescent="0.25">
      <c r="A106" s="62">
        <v>29252</v>
      </c>
      <c r="B106" s="12"/>
      <c r="C106" s="6"/>
      <c r="D106" s="7"/>
      <c r="E106" s="10"/>
    </row>
    <row r="107" spans="1:5" ht="15.75" x14ac:dyDescent="0.25">
      <c r="A107" s="62">
        <v>29281</v>
      </c>
      <c r="B107" s="12"/>
      <c r="C107" s="6"/>
      <c r="D107" s="7"/>
      <c r="E107" s="10"/>
    </row>
    <row r="108" spans="1:5" ht="15.75" x14ac:dyDescent="0.25">
      <c r="A108" s="62">
        <v>29312</v>
      </c>
      <c r="B108" s="12"/>
      <c r="C108" s="6"/>
      <c r="D108" s="7"/>
      <c r="E108" s="10"/>
    </row>
    <row r="109" spans="1:5" ht="15.75" x14ac:dyDescent="0.25">
      <c r="A109" s="62">
        <v>29342</v>
      </c>
      <c r="B109" s="12"/>
      <c r="C109" s="6"/>
      <c r="D109" s="7"/>
      <c r="E109" s="10"/>
    </row>
    <row r="110" spans="1:5" ht="15.75" x14ac:dyDescent="0.25">
      <c r="A110" s="62">
        <v>29373</v>
      </c>
      <c r="B110" s="12"/>
      <c r="C110" s="6"/>
      <c r="D110" s="7"/>
      <c r="E110" s="10"/>
    </row>
    <row r="111" spans="1:5" ht="15.75" x14ac:dyDescent="0.25">
      <c r="A111" s="62">
        <v>29403</v>
      </c>
      <c r="B111" s="12"/>
      <c r="C111" s="6"/>
      <c r="D111" s="7"/>
      <c r="E111" s="10"/>
    </row>
    <row r="112" spans="1:5" ht="15.75" x14ac:dyDescent="0.25">
      <c r="A112" s="62">
        <v>29434</v>
      </c>
      <c r="B112" s="12"/>
      <c r="C112" s="6"/>
      <c r="D112" s="7"/>
      <c r="E112" s="10"/>
    </row>
    <row r="113" spans="1:5" ht="15.75" x14ac:dyDescent="0.25">
      <c r="A113" s="62">
        <v>29465</v>
      </c>
      <c r="B113" s="12"/>
      <c r="C113" s="6"/>
      <c r="D113" s="7"/>
      <c r="E113" s="10"/>
    </row>
    <row r="114" spans="1:5" ht="15.75" x14ac:dyDescent="0.25">
      <c r="A114" s="62">
        <v>29495</v>
      </c>
      <c r="B114" s="12"/>
      <c r="C114" s="6"/>
      <c r="D114" s="7"/>
      <c r="E114" s="10"/>
    </row>
    <row r="115" spans="1:5" ht="15.75" x14ac:dyDescent="0.25">
      <c r="A115" s="62">
        <v>29526</v>
      </c>
      <c r="B115" s="12"/>
      <c r="C115" s="6"/>
      <c r="D115" s="7"/>
      <c r="E115" s="10"/>
    </row>
    <row r="116" spans="1:5" ht="15.75" x14ac:dyDescent="0.25">
      <c r="A116" s="62">
        <v>29556</v>
      </c>
      <c r="B116" s="12"/>
      <c r="C116" s="6"/>
      <c r="D116" s="7"/>
      <c r="E116" s="10"/>
    </row>
    <row r="117" spans="1:5" ht="15.75" x14ac:dyDescent="0.25">
      <c r="A117" s="62">
        <v>29587</v>
      </c>
      <c r="B117" s="12"/>
      <c r="C117" s="6"/>
      <c r="D117" s="7"/>
      <c r="E117" s="10"/>
    </row>
    <row r="118" spans="1:5" ht="15.75" x14ac:dyDescent="0.25">
      <c r="A118" s="62">
        <v>29618</v>
      </c>
      <c r="B118" s="12"/>
      <c r="C118" s="6"/>
      <c r="D118" s="7"/>
      <c r="E118" s="10"/>
    </row>
    <row r="119" spans="1:5" ht="15.75" x14ac:dyDescent="0.25">
      <c r="A119" s="62">
        <v>29646</v>
      </c>
      <c r="B119" s="12"/>
      <c r="C119" s="6"/>
      <c r="D119" s="7"/>
      <c r="E119" s="10"/>
    </row>
    <row r="120" spans="1:5" ht="15.75" x14ac:dyDescent="0.25">
      <c r="A120" s="62">
        <v>29677</v>
      </c>
      <c r="B120" s="12"/>
      <c r="C120" s="6"/>
      <c r="D120" s="7"/>
      <c r="E120" s="10"/>
    </row>
    <row r="121" spans="1:5" ht="15.75" x14ac:dyDescent="0.25">
      <c r="A121" s="62">
        <v>29707</v>
      </c>
      <c r="B121" s="12"/>
      <c r="C121" s="6"/>
      <c r="D121" s="7"/>
      <c r="E121" s="10"/>
    </row>
    <row r="122" spans="1:5" ht="15.75" x14ac:dyDescent="0.25">
      <c r="A122" s="62">
        <v>29738</v>
      </c>
      <c r="B122" s="12"/>
      <c r="C122" s="6"/>
      <c r="D122" s="7"/>
      <c r="E122" s="10"/>
    </row>
    <row r="123" spans="1:5" ht="15.75" x14ac:dyDescent="0.25">
      <c r="A123" s="62">
        <v>29768</v>
      </c>
      <c r="B123" s="12"/>
      <c r="C123" s="6"/>
      <c r="D123" s="7"/>
      <c r="E123" s="10"/>
    </row>
    <row r="124" spans="1:5" ht="15.75" x14ac:dyDescent="0.25">
      <c r="A124" s="62">
        <v>29799</v>
      </c>
      <c r="B124" s="12"/>
      <c r="C124" s="6"/>
      <c r="D124" s="7"/>
      <c r="E124" s="10"/>
    </row>
    <row r="125" spans="1:5" ht="15.75" x14ac:dyDescent="0.25">
      <c r="A125" s="62">
        <v>29830</v>
      </c>
      <c r="B125" s="12"/>
      <c r="C125" s="6"/>
      <c r="D125" s="7"/>
      <c r="E125" s="10"/>
    </row>
    <row r="126" spans="1:5" ht="15.75" x14ac:dyDescent="0.25">
      <c r="A126" s="62">
        <v>29860</v>
      </c>
      <c r="B126" s="12"/>
      <c r="C126" s="6"/>
      <c r="D126" s="7"/>
      <c r="E126" s="10"/>
    </row>
    <row r="127" spans="1:5" ht="15.75" x14ac:dyDescent="0.25">
      <c r="A127" s="62">
        <v>29891</v>
      </c>
      <c r="B127" s="12"/>
      <c r="C127" s="6"/>
      <c r="D127" s="7"/>
      <c r="E127" s="10"/>
    </row>
    <row r="128" spans="1:5" ht="15.75" x14ac:dyDescent="0.25">
      <c r="A128" s="62">
        <v>29921</v>
      </c>
      <c r="B128" s="12"/>
      <c r="C128" s="6"/>
      <c r="D128" s="7"/>
      <c r="E128" s="10"/>
    </row>
    <row r="129" spans="1:5" ht="15.75" x14ac:dyDescent="0.25">
      <c r="A129" s="62">
        <v>29952</v>
      </c>
      <c r="B129" s="12"/>
      <c r="C129" s="6"/>
      <c r="D129" s="7"/>
      <c r="E129" s="10"/>
    </row>
    <row r="130" spans="1:5" ht="15.75" x14ac:dyDescent="0.25">
      <c r="A130" s="62">
        <v>29983</v>
      </c>
      <c r="B130" s="12"/>
      <c r="C130" s="6"/>
      <c r="D130" s="7"/>
      <c r="E130" s="10"/>
    </row>
    <row r="131" spans="1:5" ht="15.75" x14ac:dyDescent="0.25">
      <c r="A131" s="62">
        <v>30011</v>
      </c>
      <c r="B131" s="12"/>
      <c r="C131" s="6"/>
      <c r="D131" s="7"/>
      <c r="E131" s="10"/>
    </row>
    <row r="132" spans="1:5" ht="15.75" x14ac:dyDescent="0.25">
      <c r="A132" s="62">
        <v>30042</v>
      </c>
      <c r="B132" s="12"/>
      <c r="C132" s="6"/>
      <c r="D132" s="7"/>
      <c r="E132" s="10"/>
    </row>
    <row r="133" spans="1:5" ht="15.75" x14ac:dyDescent="0.25">
      <c r="A133" s="62">
        <v>30072</v>
      </c>
      <c r="B133" s="12"/>
      <c r="C133" s="6"/>
      <c r="D133" s="7"/>
      <c r="E133" s="10"/>
    </row>
    <row r="134" spans="1:5" ht="15.75" x14ac:dyDescent="0.25">
      <c r="A134" s="62">
        <v>30103</v>
      </c>
      <c r="B134" s="12"/>
      <c r="C134" s="6"/>
      <c r="D134" s="7"/>
      <c r="E134" s="10"/>
    </row>
    <row r="135" spans="1:5" ht="15.75" x14ac:dyDescent="0.25">
      <c r="A135" s="62">
        <v>30133</v>
      </c>
      <c r="B135" s="12"/>
      <c r="C135" s="6"/>
      <c r="D135" s="7"/>
      <c r="E135" s="10"/>
    </row>
    <row r="136" spans="1:5" ht="15.75" x14ac:dyDescent="0.25">
      <c r="A136" s="62">
        <v>30164</v>
      </c>
      <c r="B136" s="12"/>
      <c r="C136" s="6"/>
      <c r="D136" s="7"/>
      <c r="E136" s="10"/>
    </row>
    <row r="137" spans="1:5" ht="15.75" x14ac:dyDescent="0.25">
      <c r="A137" s="62">
        <v>30195</v>
      </c>
      <c r="B137" s="12"/>
      <c r="C137" s="6"/>
      <c r="D137" s="7"/>
      <c r="E137" s="10"/>
    </row>
    <row r="138" spans="1:5" ht="15.75" x14ac:dyDescent="0.25">
      <c r="A138" s="62">
        <v>30225</v>
      </c>
      <c r="B138" s="12"/>
      <c r="C138" s="6"/>
      <c r="D138" s="7"/>
      <c r="E138" s="10"/>
    </row>
    <row r="139" spans="1:5" ht="15.75" x14ac:dyDescent="0.25">
      <c r="A139" s="62">
        <v>30256</v>
      </c>
      <c r="B139" s="12"/>
      <c r="C139" s="6"/>
      <c r="D139" s="7"/>
      <c r="E139" s="10"/>
    </row>
    <row r="140" spans="1:5" ht="15.75" x14ac:dyDescent="0.25">
      <c r="A140" s="62">
        <v>30286</v>
      </c>
      <c r="B140" s="12"/>
      <c r="C140" s="6"/>
      <c r="D140" s="7"/>
      <c r="E140" s="10"/>
    </row>
    <row r="141" spans="1:5" ht="15.75" x14ac:dyDescent="0.25">
      <c r="A141" s="62">
        <v>30317</v>
      </c>
      <c r="B141" s="12"/>
      <c r="C141" s="6"/>
      <c r="D141" s="7"/>
      <c r="E141" s="10"/>
    </row>
    <row r="142" spans="1:5" ht="15.75" x14ac:dyDescent="0.25">
      <c r="A142" s="62">
        <v>30348</v>
      </c>
      <c r="B142" s="12"/>
      <c r="C142" s="6"/>
      <c r="D142" s="7"/>
      <c r="E142" s="10"/>
    </row>
    <row r="143" spans="1:5" ht="15.75" x14ac:dyDescent="0.25">
      <c r="A143" s="62">
        <v>30376</v>
      </c>
      <c r="B143" s="12"/>
      <c r="C143" s="6"/>
      <c r="D143" s="7"/>
      <c r="E143" s="10"/>
    </row>
    <row r="144" spans="1:5" ht="15.75" x14ac:dyDescent="0.25">
      <c r="A144" s="62">
        <v>30407</v>
      </c>
      <c r="B144" s="12"/>
      <c r="C144" s="6"/>
      <c r="D144" s="7"/>
      <c r="E144" s="10"/>
    </row>
    <row r="145" spans="1:5" ht="15.75" x14ac:dyDescent="0.25">
      <c r="A145" s="62">
        <v>30437</v>
      </c>
      <c r="B145" s="12"/>
      <c r="C145" s="6"/>
      <c r="D145" s="7"/>
      <c r="E145" s="10"/>
    </row>
    <row r="146" spans="1:5" ht="15.75" x14ac:dyDescent="0.25">
      <c r="A146" s="62">
        <v>30468</v>
      </c>
      <c r="B146" s="12"/>
      <c r="C146" s="6"/>
      <c r="D146" s="7"/>
      <c r="E146" s="10"/>
    </row>
    <row r="147" spans="1:5" ht="15.75" x14ac:dyDescent="0.25">
      <c r="A147" s="62">
        <v>30498</v>
      </c>
      <c r="B147" s="12"/>
      <c r="C147" s="6"/>
      <c r="D147" s="7"/>
      <c r="E147" s="10"/>
    </row>
    <row r="148" spans="1:5" ht="15.75" x14ac:dyDescent="0.25">
      <c r="A148" s="62">
        <v>30529</v>
      </c>
      <c r="B148" s="12"/>
      <c r="C148" s="6"/>
      <c r="D148" s="7"/>
      <c r="E148" s="10"/>
    </row>
    <row r="149" spans="1:5" ht="15.75" x14ac:dyDescent="0.25">
      <c r="A149" s="62">
        <v>30560</v>
      </c>
      <c r="B149" s="12"/>
      <c r="C149" s="6"/>
      <c r="D149" s="7"/>
      <c r="E149" s="10"/>
    </row>
    <row r="150" spans="1:5" ht="15.75" x14ac:dyDescent="0.25">
      <c r="A150" s="62">
        <v>30590</v>
      </c>
      <c r="B150" s="12"/>
      <c r="C150" s="6"/>
      <c r="D150" s="7"/>
      <c r="E150" s="10"/>
    </row>
    <row r="151" spans="1:5" ht="15.75" x14ac:dyDescent="0.25">
      <c r="A151" s="62">
        <v>30621</v>
      </c>
      <c r="B151" s="12"/>
      <c r="C151" s="6"/>
      <c r="D151" s="7"/>
      <c r="E151" s="10"/>
    </row>
    <row r="152" spans="1:5" ht="15.75" x14ac:dyDescent="0.25">
      <c r="A152" s="62">
        <v>30651</v>
      </c>
      <c r="B152" s="12"/>
      <c r="C152" s="6"/>
      <c r="D152" s="7"/>
      <c r="E152" s="10"/>
    </row>
    <row r="153" spans="1:5" ht="15.75" x14ac:dyDescent="0.25">
      <c r="A153" s="62">
        <v>30682</v>
      </c>
      <c r="B153" s="12"/>
      <c r="C153" s="6"/>
      <c r="D153" s="7"/>
      <c r="E153" s="10"/>
    </row>
    <row r="154" spans="1:5" ht="15.75" x14ac:dyDescent="0.25">
      <c r="A154" s="62">
        <v>30713</v>
      </c>
      <c r="B154" s="12"/>
      <c r="C154" s="6"/>
      <c r="D154" s="7"/>
      <c r="E154" s="10"/>
    </row>
    <row r="155" spans="1:5" ht="15.75" x14ac:dyDescent="0.25">
      <c r="A155" s="62">
        <v>30742</v>
      </c>
      <c r="B155" s="12"/>
      <c r="C155" s="6"/>
      <c r="D155" s="7"/>
      <c r="E155" s="10"/>
    </row>
    <row r="156" spans="1:5" ht="15.75" x14ac:dyDescent="0.25">
      <c r="A156" s="62">
        <v>30773</v>
      </c>
      <c r="B156" s="12"/>
      <c r="C156" s="6"/>
      <c r="D156" s="7"/>
      <c r="E156" s="10"/>
    </row>
    <row r="157" spans="1:5" ht="15.75" x14ac:dyDescent="0.25">
      <c r="A157" s="62">
        <v>30803</v>
      </c>
      <c r="B157" s="12"/>
      <c r="C157" s="6"/>
      <c r="D157" s="7"/>
      <c r="E157" s="10"/>
    </row>
    <row r="158" spans="1:5" ht="15.75" x14ac:dyDescent="0.25">
      <c r="A158" s="62">
        <v>30834</v>
      </c>
      <c r="B158" s="12"/>
      <c r="C158" s="6"/>
      <c r="D158" s="7"/>
      <c r="E158" s="10"/>
    </row>
    <row r="159" spans="1:5" ht="15.75" x14ac:dyDescent="0.25">
      <c r="A159" s="62">
        <v>30864</v>
      </c>
      <c r="B159" s="12"/>
      <c r="C159" s="6"/>
      <c r="D159" s="7"/>
      <c r="E159" s="10"/>
    </row>
    <row r="160" spans="1:5" ht="15.75" x14ac:dyDescent="0.25">
      <c r="A160" s="62">
        <v>30895</v>
      </c>
      <c r="B160" s="12"/>
      <c r="C160" s="6"/>
      <c r="D160" s="7"/>
      <c r="E160" s="10"/>
    </row>
    <row r="161" spans="1:5" ht="15.75" x14ac:dyDescent="0.25">
      <c r="A161" s="62">
        <v>30926</v>
      </c>
      <c r="B161" s="12"/>
      <c r="C161" s="6"/>
      <c r="D161" s="7"/>
      <c r="E161" s="10"/>
    </row>
    <row r="162" spans="1:5" ht="15.75" x14ac:dyDescent="0.25">
      <c r="A162" s="62">
        <v>30956</v>
      </c>
      <c r="B162" s="12"/>
      <c r="C162" s="6"/>
      <c r="D162" s="7"/>
      <c r="E162" s="10"/>
    </row>
    <row r="163" spans="1:5" ht="15.75" x14ac:dyDescent="0.25">
      <c r="A163" s="62">
        <v>30987</v>
      </c>
      <c r="B163" s="12"/>
      <c r="C163" s="6"/>
      <c r="D163" s="7"/>
      <c r="E163" s="10"/>
    </row>
    <row r="164" spans="1:5" ht="15.75" x14ac:dyDescent="0.25">
      <c r="A164" s="62">
        <v>31017</v>
      </c>
      <c r="B164" s="12"/>
      <c r="C164" s="6"/>
      <c r="D164" s="7"/>
      <c r="E164" s="10"/>
    </row>
    <row r="165" spans="1:5" ht="15.75" x14ac:dyDescent="0.25">
      <c r="A165" s="62">
        <v>31048</v>
      </c>
      <c r="B165" s="12"/>
      <c r="C165" s="6"/>
      <c r="D165" s="7"/>
      <c r="E165" s="10"/>
    </row>
    <row r="166" spans="1:5" ht="15.75" x14ac:dyDescent="0.25">
      <c r="A166" s="62">
        <v>31079</v>
      </c>
      <c r="B166" s="12"/>
      <c r="C166" s="6"/>
      <c r="D166" s="7"/>
      <c r="E166" s="10"/>
    </row>
    <row r="167" spans="1:5" ht="15.75" x14ac:dyDescent="0.25">
      <c r="A167" s="62">
        <v>31107</v>
      </c>
      <c r="B167" s="12"/>
      <c r="C167" s="6"/>
      <c r="D167" s="7"/>
      <c r="E167" s="10"/>
    </row>
    <row r="168" spans="1:5" ht="15.75" x14ac:dyDescent="0.25">
      <c r="A168" s="62">
        <v>31138</v>
      </c>
      <c r="B168" s="12"/>
      <c r="C168" s="6"/>
      <c r="D168" s="7"/>
      <c r="E168" s="10"/>
    </row>
    <row r="169" spans="1:5" ht="15.75" x14ac:dyDescent="0.25">
      <c r="A169" s="62">
        <v>31168</v>
      </c>
      <c r="B169" s="12"/>
      <c r="C169" s="6"/>
      <c r="D169" s="7"/>
      <c r="E169" s="10"/>
    </row>
    <row r="170" spans="1:5" ht="15.75" x14ac:dyDescent="0.25">
      <c r="A170" s="62">
        <v>31199</v>
      </c>
      <c r="B170" s="12"/>
      <c r="C170" s="6"/>
      <c r="D170" s="7"/>
      <c r="E170" s="10"/>
    </row>
    <row r="171" spans="1:5" ht="15.75" x14ac:dyDescent="0.25">
      <c r="A171" s="62">
        <v>31229</v>
      </c>
      <c r="B171" s="12"/>
      <c r="C171" s="6"/>
      <c r="D171" s="7"/>
      <c r="E171" s="10"/>
    </row>
    <row r="172" spans="1:5" ht="15.75" x14ac:dyDescent="0.25">
      <c r="A172" s="62">
        <v>31260</v>
      </c>
      <c r="B172" s="12"/>
      <c r="C172" s="6"/>
      <c r="D172" s="7"/>
      <c r="E172" s="10"/>
    </row>
    <row r="173" spans="1:5" ht="15.75" x14ac:dyDescent="0.25">
      <c r="A173" s="62">
        <v>31291</v>
      </c>
      <c r="B173" s="12"/>
      <c r="C173" s="6"/>
      <c r="D173" s="7"/>
      <c r="E173" s="10"/>
    </row>
    <row r="174" spans="1:5" ht="15.75" x14ac:dyDescent="0.25">
      <c r="A174" s="62">
        <v>31321</v>
      </c>
      <c r="B174" s="12"/>
      <c r="C174" s="6"/>
      <c r="D174" s="7"/>
      <c r="E174" s="10"/>
    </row>
    <row r="175" spans="1:5" ht="15.75" x14ac:dyDescent="0.25">
      <c r="A175" s="62">
        <v>31352</v>
      </c>
      <c r="B175" s="12"/>
      <c r="C175" s="6"/>
      <c r="D175" s="7"/>
      <c r="E175" s="10"/>
    </row>
    <row r="176" spans="1:5" ht="15.75" x14ac:dyDescent="0.25">
      <c r="A176" s="62">
        <v>31382</v>
      </c>
      <c r="B176" s="12"/>
      <c r="C176" s="6"/>
      <c r="D176" s="7"/>
      <c r="E176" s="10"/>
    </row>
    <row r="177" spans="1:5" ht="15.75" x14ac:dyDescent="0.25">
      <c r="A177" s="62">
        <v>31413</v>
      </c>
      <c r="B177" s="12"/>
      <c r="C177" s="6"/>
      <c r="D177" s="7"/>
      <c r="E177" s="10"/>
    </row>
    <row r="178" spans="1:5" ht="15.75" x14ac:dyDescent="0.25">
      <c r="A178" s="62">
        <v>31444</v>
      </c>
      <c r="B178" s="12"/>
      <c r="C178" s="6"/>
      <c r="D178" s="7"/>
      <c r="E178" s="10"/>
    </row>
    <row r="179" spans="1:5" ht="15.75" x14ac:dyDescent="0.25">
      <c r="A179" s="62">
        <v>31472</v>
      </c>
      <c r="B179" s="12"/>
      <c r="C179" s="6"/>
      <c r="D179" s="7"/>
      <c r="E179" s="10"/>
    </row>
    <row r="180" spans="1:5" ht="15.75" x14ac:dyDescent="0.25">
      <c r="A180" s="62">
        <v>31503</v>
      </c>
      <c r="B180" s="12"/>
      <c r="C180" s="6"/>
      <c r="D180" s="7"/>
      <c r="E180" s="10"/>
    </row>
    <row r="181" spans="1:5" ht="15.75" x14ac:dyDescent="0.25">
      <c r="A181" s="62">
        <v>31533</v>
      </c>
      <c r="B181" s="12"/>
      <c r="C181" s="6"/>
      <c r="D181" s="7"/>
      <c r="E181" s="10"/>
    </row>
    <row r="182" spans="1:5" ht="15.75" x14ac:dyDescent="0.25">
      <c r="A182" s="62">
        <v>31564</v>
      </c>
      <c r="B182" s="12"/>
      <c r="C182" s="6"/>
      <c r="D182" s="7"/>
      <c r="E182" s="10"/>
    </row>
    <row r="183" spans="1:5" ht="15.75" x14ac:dyDescent="0.25">
      <c r="A183" s="62">
        <v>31594</v>
      </c>
      <c r="B183" s="12"/>
      <c r="C183" s="6"/>
      <c r="D183" s="7"/>
      <c r="E183" s="10"/>
    </row>
    <row r="184" spans="1:5" ht="15.75" x14ac:dyDescent="0.25">
      <c r="A184" s="62">
        <v>31625</v>
      </c>
      <c r="B184" s="12"/>
      <c r="C184" s="6"/>
      <c r="D184" s="7"/>
      <c r="E184" s="10"/>
    </row>
    <row r="185" spans="1:5" ht="15.75" x14ac:dyDescent="0.25">
      <c r="A185" s="62">
        <v>31656</v>
      </c>
      <c r="B185" s="12"/>
      <c r="C185" s="6"/>
      <c r="D185" s="7"/>
      <c r="E185" s="10"/>
    </row>
    <row r="186" spans="1:5" ht="15.75" x14ac:dyDescent="0.25">
      <c r="A186" s="62">
        <v>31686</v>
      </c>
      <c r="B186" s="12"/>
      <c r="C186" s="6"/>
      <c r="D186" s="7"/>
      <c r="E186" s="10"/>
    </row>
    <row r="187" spans="1:5" ht="15.75" x14ac:dyDescent="0.25">
      <c r="A187" s="62">
        <v>31717</v>
      </c>
      <c r="B187" s="12"/>
      <c r="C187" s="6"/>
      <c r="D187" s="7"/>
      <c r="E187" s="10"/>
    </row>
    <row r="188" spans="1:5" ht="15.75" x14ac:dyDescent="0.25">
      <c r="A188" s="62">
        <v>31747</v>
      </c>
      <c r="B188" s="12"/>
      <c r="C188" s="6"/>
      <c r="D188" s="7"/>
      <c r="E188" s="10"/>
    </row>
    <row r="189" spans="1:5" ht="15.75" x14ac:dyDescent="0.25">
      <c r="A189" s="62">
        <v>31778</v>
      </c>
      <c r="B189" s="12"/>
      <c r="C189" s="6"/>
      <c r="D189" s="7"/>
      <c r="E189" s="10"/>
    </row>
    <row r="190" spans="1:5" ht="15.75" x14ac:dyDescent="0.25">
      <c r="A190" s="62">
        <v>31809</v>
      </c>
      <c r="B190" s="12"/>
      <c r="C190" s="6"/>
      <c r="D190" s="7"/>
      <c r="E190" s="10"/>
    </row>
    <row r="191" spans="1:5" ht="15.75" x14ac:dyDescent="0.25">
      <c r="A191" s="62">
        <v>31837</v>
      </c>
      <c r="B191" s="12"/>
      <c r="C191" s="6"/>
      <c r="D191" s="7"/>
      <c r="E191" s="10"/>
    </row>
    <row r="192" spans="1:5" ht="15.75" x14ac:dyDescent="0.25">
      <c r="A192" s="62">
        <v>31868</v>
      </c>
      <c r="B192" s="12"/>
      <c r="C192" s="6"/>
      <c r="D192" s="7"/>
      <c r="E192" s="10"/>
    </row>
    <row r="193" spans="1:5" ht="15.75" x14ac:dyDescent="0.25">
      <c r="A193" s="62">
        <v>31898</v>
      </c>
      <c r="B193" s="12"/>
      <c r="C193" s="6"/>
      <c r="D193" s="7"/>
      <c r="E193" s="10"/>
    </row>
    <row r="194" spans="1:5" ht="15.75" x14ac:dyDescent="0.25">
      <c r="A194" s="62">
        <v>31929</v>
      </c>
      <c r="B194" s="12"/>
      <c r="C194" s="6"/>
      <c r="D194" s="7"/>
      <c r="E194" s="10"/>
    </row>
    <row r="195" spans="1:5" ht="15.75" x14ac:dyDescent="0.25">
      <c r="A195" s="62">
        <v>31959</v>
      </c>
      <c r="B195" s="12"/>
      <c r="C195" s="6"/>
      <c r="D195" s="7"/>
      <c r="E195" s="10"/>
    </row>
    <row r="196" spans="1:5" ht="15.75" x14ac:dyDescent="0.25">
      <c r="A196" s="62">
        <v>31990</v>
      </c>
      <c r="B196" s="12"/>
      <c r="C196" s="6"/>
      <c r="D196" s="7"/>
      <c r="E196" s="10"/>
    </row>
    <row r="197" spans="1:5" ht="15.75" x14ac:dyDescent="0.25">
      <c r="A197" s="62">
        <v>32021</v>
      </c>
      <c r="B197" s="12"/>
      <c r="C197" s="6"/>
      <c r="D197" s="7"/>
      <c r="E197" s="10"/>
    </row>
    <row r="198" spans="1:5" ht="15.75" x14ac:dyDescent="0.25">
      <c r="A198" s="62">
        <v>32051</v>
      </c>
      <c r="B198" s="12"/>
      <c r="C198" s="6"/>
      <c r="D198" s="7"/>
      <c r="E198" s="10"/>
    </row>
    <row r="199" spans="1:5" ht="15.75" x14ac:dyDescent="0.25">
      <c r="A199" s="62">
        <v>32082</v>
      </c>
      <c r="B199" s="12"/>
      <c r="C199" s="6"/>
      <c r="D199" s="7"/>
      <c r="E199" s="10"/>
    </row>
    <row r="200" spans="1:5" ht="15.75" x14ac:dyDescent="0.25">
      <c r="A200" s="62">
        <v>32112</v>
      </c>
      <c r="B200" s="12"/>
      <c r="C200" s="6"/>
      <c r="D200" s="7"/>
      <c r="E200" s="10"/>
    </row>
    <row r="201" spans="1:5" ht="15.75" x14ac:dyDescent="0.25">
      <c r="A201" s="62">
        <v>32143</v>
      </c>
      <c r="B201" s="12"/>
      <c r="C201" s="6"/>
      <c r="D201" s="7"/>
      <c r="E201" s="10"/>
    </row>
    <row r="202" spans="1:5" ht="15.75" x14ac:dyDescent="0.25">
      <c r="A202" s="62">
        <v>32174</v>
      </c>
      <c r="B202" s="12"/>
      <c r="C202" s="6"/>
      <c r="D202" s="7"/>
      <c r="E202" s="10"/>
    </row>
    <row r="203" spans="1:5" ht="15.75" x14ac:dyDescent="0.25">
      <c r="A203" s="62">
        <v>32203</v>
      </c>
      <c r="B203" s="12"/>
      <c r="C203" s="6"/>
      <c r="D203" s="7"/>
      <c r="E203" s="10"/>
    </row>
    <row r="204" spans="1:5" ht="15.75" x14ac:dyDescent="0.25">
      <c r="A204" s="62">
        <v>32234</v>
      </c>
      <c r="B204" s="12"/>
      <c r="C204" s="6"/>
      <c r="D204" s="7"/>
      <c r="E204" s="10"/>
    </row>
    <row r="205" spans="1:5" ht="15.75" x14ac:dyDescent="0.25">
      <c r="A205" s="62">
        <v>32264</v>
      </c>
      <c r="B205" s="12"/>
      <c r="C205" s="6"/>
      <c r="D205" s="7"/>
      <c r="E205" s="10"/>
    </row>
    <row r="206" spans="1:5" ht="15.75" x14ac:dyDescent="0.25">
      <c r="A206" s="62">
        <v>32295</v>
      </c>
      <c r="B206" s="12"/>
      <c r="C206" s="6"/>
      <c r="D206" s="7"/>
      <c r="E206" s="10"/>
    </row>
    <row r="207" spans="1:5" ht="15.75" x14ac:dyDescent="0.25">
      <c r="A207" s="62">
        <v>32325</v>
      </c>
      <c r="B207" s="12"/>
      <c r="C207" s="6"/>
      <c r="D207" s="7"/>
      <c r="E207" s="10"/>
    </row>
    <row r="208" spans="1:5" ht="15.75" x14ac:dyDescent="0.25">
      <c r="A208" s="62">
        <v>32356</v>
      </c>
      <c r="B208" s="12"/>
      <c r="C208" s="6"/>
      <c r="D208" s="7"/>
      <c r="E208" s="10"/>
    </row>
    <row r="209" spans="1:5" ht="15.75" x14ac:dyDescent="0.25">
      <c r="A209" s="62">
        <v>32387</v>
      </c>
      <c r="B209" s="12"/>
      <c r="C209" s="6"/>
      <c r="D209" s="7"/>
      <c r="E209" s="10"/>
    </row>
    <row r="210" spans="1:5" ht="15.75" x14ac:dyDescent="0.25">
      <c r="A210" s="62">
        <v>32417</v>
      </c>
      <c r="B210" s="12"/>
      <c r="C210" s="6"/>
      <c r="D210" s="7"/>
      <c r="E210" s="10"/>
    </row>
    <row r="211" spans="1:5" ht="15.75" x14ac:dyDescent="0.25">
      <c r="A211" s="62">
        <v>32448</v>
      </c>
      <c r="B211" s="12"/>
      <c r="C211" s="6"/>
      <c r="D211" s="7"/>
      <c r="E211" s="10"/>
    </row>
    <row r="212" spans="1:5" ht="15.75" x14ac:dyDescent="0.25">
      <c r="A212" s="62">
        <v>32478</v>
      </c>
      <c r="B212" s="12"/>
      <c r="C212" s="6"/>
      <c r="D212" s="7"/>
      <c r="E212" s="10"/>
    </row>
    <row r="213" spans="1:5" ht="15.75" x14ac:dyDescent="0.25">
      <c r="A213" s="62">
        <v>32509</v>
      </c>
      <c r="B213" s="12"/>
      <c r="C213" s="6"/>
      <c r="D213" s="7"/>
      <c r="E213" s="10"/>
    </row>
    <row r="214" spans="1:5" ht="15.75" x14ac:dyDescent="0.25">
      <c r="A214" s="62">
        <v>32540</v>
      </c>
      <c r="B214" s="12"/>
      <c r="C214" s="6"/>
      <c r="D214" s="7"/>
      <c r="E214" s="10"/>
    </row>
    <row r="215" spans="1:5" ht="15.75" x14ac:dyDescent="0.25">
      <c r="A215" s="62">
        <v>32568</v>
      </c>
      <c r="B215" s="12"/>
      <c r="C215" s="6"/>
      <c r="D215" s="7"/>
      <c r="E215" s="10"/>
    </row>
    <row r="216" spans="1:5" ht="15.75" x14ac:dyDescent="0.25">
      <c r="A216" s="62">
        <v>32599</v>
      </c>
      <c r="B216" s="12"/>
      <c r="C216" s="6"/>
      <c r="D216" s="7"/>
      <c r="E216" s="10"/>
    </row>
    <row r="217" spans="1:5" ht="15.75" x14ac:dyDescent="0.25">
      <c r="A217" s="62">
        <v>32629</v>
      </c>
      <c r="B217" s="12"/>
      <c r="C217" s="6"/>
      <c r="D217" s="7"/>
      <c r="E217" s="10"/>
    </row>
    <row r="218" spans="1:5" ht="15.75" x14ac:dyDescent="0.25">
      <c r="A218" s="62">
        <v>32660</v>
      </c>
      <c r="B218" s="12"/>
      <c r="C218" s="6"/>
      <c r="D218" s="7"/>
      <c r="E218" s="10"/>
    </row>
    <row r="219" spans="1:5" ht="15.75" x14ac:dyDescent="0.25">
      <c r="A219" s="62">
        <v>32690</v>
      </c>
      <c r="B219" s="12"/>
      <c r="C219" s="6"/>
      <c r="D219" s="7"/>
      <c r="E219" s="10"/>
    </row>
    <row r="220" spans="1:5" ht="15.75" x14ac:dyDescent="0.25">
      <c r="A220" s="62">
        <v>32721</v>
      </c>
      <c r="B220" s="12"/>
      <c r="C220" s="6"/>
      <c r="D220" s="7"/>
      <c r="E220" s="10"/>
    </row>
    <row r="221" spans="1:5" ht="15.75" x14ac:dyDescent="0.25">
      <c r="A221" s="62">
        <v>32752</v>
      </c>
      <c r="B221" s="12"/>
      <c r="C221" s="6"/>
      <c r="D221" s="7"/>
      <c r="E221" s="10"/>
    </row>
    <row r="222" spans="1:5" ht="15.75" x14ac:dyDescent="0.25">
      <c r="A222" s="62">
        <v>32782</v>
      </c>
      <c r="B222" s="12"/>
      <c r="C222" s="6"/>
      <c r="D222" s="7"/>
      <c r="E222" s="10"/>
    </row>
    <row r="223" spans="1:5" ht="15.75" x14ac:dyDescent="0.25">
      <c r="A223" s="62">
        <v>32813</v>
      </c>
      <c r="B223" s="12"/>
      <c r="C223" s="6"/>
      <c r="D223" s="7"/>
      <c r="E223" s="10"/>
    </row>
    <row r="224" spans="1:5" ht="15.75" x14ac:dyDescent="0.25">
      <c r="A224" s="62">
        <v>32843</v>
      </c>
      <c r="B224" s="12"/>
      <c r="C224" s="6"/>
      <c r="D224" s="7"/>
      <c r="E224" s="10"/>
    </row>
    <row r="225" spans="1:5" ht="15.75" x14ac:dyDescent="0.25">
      <c r="A225" s="62">
        <v>32874</v>
      </c>
      <c r="B225" s="12"/>
      <c r="C225" s="6"/>
      <c r="D225" s="7"/>
      <c r="E225" s="10"/>
    </row>
    <row r="226" spans="1:5" ht="15.75" x14ac:dyDescent="0.25">
      <c r="A226" s="62">
        <v>32905</v>
      </c>
      <c r="B226" s="12"/>
      <c r="C226" s="6"/>
      <c r="D226" s="7"/>
      <c r="E226" s="10"/>
    </row>
    <row r="227" spans="1:5" ht="15.75" x14ac:dyDescent="0.25">
      <c r="A227" s="62">
        <v>32933</v>
      </c>
      <c r="B227" s="12"/>
      <c r="C227" s="6"/>
      <c r="D227" s="7"/>
      <c r="E227" s="10"/>
    </row>
    <row r="228" spans="1:5" ht="15.75" x14ac:dyDescent="0.25">
      <c r="A228" s="62">
        <v>32964</v>
      </c>
      <c r="B228" s="12"/>
      <c r="C228" s="6"/>
      <c r="D228" s="7"/>
      <c r="E228" s="10"/>
    </row>
    <row r="229" spans="1:5" ht="15.75" x14ac:dyDescent="0.25">
      <c r="A229" s="62">
        <v>32994</v>
      </c>
      <c r="B229" s="12"/>
      <c r="C229" s="6"/>
      <c r="D229" s="7"/>
      <c r="E229" s="10"/>
    </row>
    <row r="230" spans="1:5" ht="15.75" x14ac:dyDescent="0.25">
      <c r="A230" s="62">
        <v>33025</v>
      </c>
      <c r="B230" s="12"/>
      <c r="C230" s="6"/>
      <c r="D230" s="7"/>
      <c r="E230" s="10"/>
    </row>
    <row r="231" spans="1:5" ht="15.75" x14ac:dyDescent="0.25">
      <c r="A231" s="62">
        <v>33055</v>
      </c>
      <c r="B231" s="12"/>
      <c r="C231" s="6"/>
      <c r="D231" s="7"/>
      <c r="E231" s="10"/>
    </row>
    <row r="232" spans="1:5" ht="15.75" x14ac:dyDescent="0.25">
      <c r="A232" s="62">
        <v>33086</v>
      </c>
      <c r="B232" s="12"/>
      <c r="C232" s="6"/>
      <c r="D232" s="7"/>
      <c r="E232" s="10"/>
    </row>
    <row r="233" spans="1:5" ht="15.75" x14ac:dyDescent="0.25">
      <c r="A233" s="62">
        <v>33117</v>
      </c>
      <c r="B233" s="12"/>
      <c r="C233" s="6"/>
      <c r="D233" s="7"/>
      <c r="E233" s="10"/>
    </row>
    <row r="234" spans="1:5" ht="15.75" x14ac:dyDescent="0.25">
      <c r="A234" s="62">
        <v>33147</v>
      </c>
      <c r="B234" s="12"/>
      <c r="C234" s="6"/>
      <c r="D234" s="7"/>
      <c r="E234" s="10"/>
    </row>
    <row r="235" spans="1:5" ht="15.75" x14ac:dyDescent="0.25">
      <c r="A235" s="62">
        <v>33178</v>
      </c>
      <c r="B235" s="12"/>
      <c r="C235" s="6"/>
      <c r="D235" s="7"/>
      <c r="E235" s="10"/>
    </row>
    <row r="236" spans="1:5" ht="15.75" x14ac:dyDescent="0.25">
      <c r="A236" s="62">
        <v>33208</v>
      </c>
      <c r="B236" s="12"/>
      <c r="C236" s="6"/>
      <c r="D236" s="7"/>
      <c r="E236" s="10"/>
    </row>
    <row r="237" spans="1:5" ht="15.75" x14ac:dyDescent="0.25">
      <c r="A237" s="62">
        <v>33239</v>
      </c>
      <c r="B237" s="12"/>
      <c r="C237" s="6"/>
      <c r="D237" s="7"/>
      <c r="E237" s="10"/>
    </row>
    <row r="238" spans="1:5" ht="15.75" x14ac:dyDescent="0.25">
      <c r="A238" s="62">
        <v>33270</v>
      </c>
      <c r="B238" s="12"/>
      <c r="C238" s="6"/>
      <c r="D238" s="7"/>
      <c r="E238" s="10"/>
    </row>
    <row r="239" spans="1:5" ht="15.75" x14ac:dyDescent="0.25">
      <c r="A239" s="62">
        <v>33298</v>
      </c>
      <c r="B239" s="12"/>
      <c r="C239" s="6"/>
      <c r="D239" s="7"/>
      <c r="E239" s="10"/>
    </row>
    <row r="240" spans="1:5" ht="15.75" x14ac:dyDescent="0.25">
      <c r="A240" s="62">
        <v>33329</v>
      </c>
      <c r="B240" s="12"/>
      <c r="C240" s="6"/>
      <c r="D240" s="7"/>
      <c r="E240" s="10"/>
    </row>
    <row r="241" spans="1:5" ht="15.75" x14ac:dyDescent="0.25">
      <c r="A241" s="62">
        <v>33359</v>
      </c>
      <c r="B241" s="12"/>
      <c r="C241" s="6"/>
      <c r="D241" s="7"/>
      <c r="E241" s="10"/>
    </row>
    <row r="242" spans="1:5" ht="15.75" x14ac:dyDescent="0.25">
      <c r="A242" s="62">
        <v>33390</v>
      </c>
      <c r="B242" s="12"/>
      <c r="C242" s="6"/>
      <c r="D242" s="7"/>
      <c r="E242" s="10"/>
    </row>
    <row r="243" spans="1:5" ht="15.75" x14ac:dyDescent="0.25">
      <c r="A243" s="62">
        <v>33420</v>
      </c>
      <c r="B243" s="12"/>
      <c r="C243" s="6"/>
      <c r="D243" s="7"/>
      <c r="E243" s="10"/>
    </row>
    <row r="244" spans="1:5" ht="15.75" x14ac:dyDescent="0.25">
      <c r="A244" s="62">
        <v>33451</v>
      </c>
      <c r="B244" s="12"/>
      <c r="C244" s="6"/>
      <c r="D244" s="7"/>
      <c r="E244" s="10"/>
    </row>
    <row r="245" spans="1:5" ht="15.75" x14ac:dyDescent="0.25">
      <c r="A245" s="62">
        <v>33482</v>
      </c>
      <c r="B245" s="12"/>
      <c r="C245" s="6"/>
      <c r="D245" s="7"/>
      <c r="E245" s="10"/>
    </row>
    <row r="246" spans="1:5" ht="15.75" x14ac:dyDescent="0.25">
      <c r="A246" s="62">
        <v>33512</v>
      </c>
      <c r="B246" s="12"/>
      <c r="C246" s="6"/>
      <c r="D246" s="7"/>
      <c r="E246" s="10"/>
    </row>
    <row r="247" spans="1:5" ht="15.75" x14ac:dyDescent="0.25">
      <c r="A247" s="62">
        <v>33543</v>
      </c>
      <c r="B247" s="12"/>
      <c r="C247" s="6"/>
      <c r="D247" s="7"/>
      <c r="E247" s="10"/>
    </row>
    <row r="248" spans="1:5" ht="15.75" x14ac:dyDescent="0.25">
      <c r="A248" s="62">
        <v>33573</v>
      </c>
      <c r="B248" s="12"/>
      <c r="C248" s="6"/>
      <c r="D248" s="7"/>
      <c r="E248" s="10"/>
    </row>
    <row r="249" spans="1:5" ht="15.75" x14ac:dyDescent="0.25">
      <c r="A249" s="62">
        <v>33604</v>
      </c>
      <c r="B249" s="12"/>
      <c r="C249" s="6"/>
      <c r="D249" s="7"/>
      <c r="E249" s="10"/>
    </row>
    <row r="250" spans="1:5" ht="15.75" x14ac:dyDescent="0.25">
      <c r="A250" s="62">
        <v>33635</v>
      </c>
      <c r="B250" s="12"/>
      <c r="C250" s="6"/>
      <c r="D250" s="7"/>
      <c r="E250" s="10"/>
    </row>
    <row r="251" spans="1:5" ht="15.75" x14ac:dyDescent="0.25">
      <c r="A251" s="62">
        <v>33664</v>
      </c>
      <c r="B251" s="12"/>
      <c r="C251" s="6"/>
      <c r="D251" s="7"/>
      <c r="E251" s="10"/>
    </row>
    <row r="252" spans="1:5" ht="15.75" x14ac:dyDescent="0.25">
      <c r="A252" s="62">
        <v>33695</v>
      </c>
      <c r="B252" s="12"/>
      <c r="C252" s="6"/>
      <c r="D252" s="7"/>
      <c r="E252" s="10"/>
    </row>
    <row r="253" spans="1:5" ht="15.75" x14ac:dyDescent="0.25">
      <c r="A253" s="62">
        <v>33725</v>
      </c>
      <c r="B253" s="12"/>
      <c r="C253" s="6"/>
      <c r="D253" s="7"/>
      <c r="E253" s="10"/>
    </row>
    <row r="254" spans="1:5" ht="15.75" x14ac:dyDescent="0.25">
      <c r="A254" s="62">
        <v>33756</v>
      </c>
      <c r="B254" s="12"/>
      <c r="C254" s="6"/>
      <c r="D254" s="7"/>
      <c r="E254" s="10"/>
    </row>
    <row r="255" spans="1:5" ht="15.75" x14ac:dyDescent="0.25">
      <c r="A255" s="62">
        <v>33786</v>
      </c>
      <c r="B255" s="12"/>
      <c r="C255" s="6"/>
      <c r="D255" s="7"/>
      <c r="E255" s="10"/>
    </row>
    <row r="256" spans="1:5" ht="15.75" x14ac:dyDescent="0.25">
      <c r="A256" s="62">
        <v>33817</v>
      </c>
      <c r="B256" s="12"/>
      <c r="C256" s="6"/>
      <c r="D256" s="7"/>
      <c r="E256" s="10"/>
    </row>
    <row r="257" spans="1:5" ht="15.75" x14ac:dyDescent="0.25">
      <c r="A257" s="62">
        <v>33848</v>
      </c>
      <c r="B257" s="12"/>
      <c r="C257" s="6"/>
      <c r="D257" s="7"/>
      <c r="E257" s="10"/>
    </row>
    <row r="258" spans="1:5" ht="15.75" x14ac:dyDescent="0.25">
      <c r="A258" s="62">
        <v>33878</v>
      </c>
      <c r="B258" s="12"/>
      <c r="C258" s="6"/>
      <c r="D258" s="7"/>
      <c r="E258" s="10"/>
    </row>
    <row r="259" spans="1:5" ht="15.75" x14ac:dyDescent="0.25">
      <c r="A259" s="62">
        <v>33909</v>
      </c>
      <c r="B259" s="12"/>
      <c r="C259" s="6"/>
      <c r="D259" s="7"/>
      <c r="E259" s="10"/>
    </row>
    <row r="260" spans="1:5" ht="15.75" x14ac:dyDescent="0.25">
      <c r="A260" s="62">
        <v>33939</v>
      </c>
      <c r="B260" s="12"/>
      <c r="C260" s="6"/>
      <c r="D260" s="7"/>
      <c r="E260" s="10"/>
    </row>
    <row r="261" spans="1:5" ht="15.75" x14ac:dyDescent="0.25">
      <c r="A261" s="62">
        <v>33970</v>
      </c>
      <c r="B261" s="12"/>
      <c r="C261" s="6"/>
      <c r="D261" s="7"/>
      <c r="E261" s="10"/>
    </row>
    <row r="262" spans="1:5" ht="15.75" x14ac:dyDescent="0.25">
      <c r="A262" s="62">
        <v>34001</v>
      </c>
      <c r="B262" s="12"/>
      <c r="C262" s="6"/>
      <c r="D262" s="7"/>
      <c r="E262" s="10"/>
    </row>
    <row r="263" spans="1:5" ht="15.75" x14ac:dyDescent="0.25">
      <c r="A263" s="62">
        <v>34029</v>
      </c>
      <c r="B263" s="12"/>
      <c r="C263" s="6"/>
      <c r="D263" s="7"/>
      <c r="E263" s="10"/>
    </row>
    <row r="264" spans="1:5" ht="15.75" x14ac:dyDescent="0.25">
      <c r="A264" s="62">
        <v>34060</v>
      </c>
      <c r="B264" s="12"/>
      <c r="C264" s="6"/>
      <c r="D264" s="7"/>
      <c r="E264" s="10"/>
    </row>
    <row r="265" spans="1:5" ht="15.75" x14ac:dyDescent="0.25">
      <c r="A265" s="62">
        <v>34090</v>
      </c>
      <c r="B265" s="12"/>
      <c r="C265" s="6"/>
      <c r="D265" s="7"/>
      <c r="E265" s="10"/>
    </row>
    <row r="266" spans="1:5" ht="15.75" x14ac:dyDescent="0.25">
      <c r="A266" s="62">
        <v>34121</v>
      </c>
      <c r="B266" s="12"/>
      <c r="C266" s="6"/>
      <c r="D266" s="7"/>
      <c r="E266" s="10"/>
    </row>
    <row r="267" spans="1:5" ht="15.75" x14ac:dyDescent="0.25">
      <c r="A267" s="62">
        <v>34151</v>
      </c>
      <c r="B267" s="12"/>
      <c r="C267" s="6"/>
      <c r="D267" s="7"/>
      <c r="E267" s="10"/>
    </row>
    <row r="268" spans="1:5" ht="15.75" x14ac:dyDescent="0.25">
      <c r="A268" s="62">
        <v>34182</v>
      </c>
      <c r="B268" s="12"/>
      <c r="C268" s="6"/>
      <c r="D268" s="7"/>
      <c r="E268" s="10"/>
    </row>
    <row r="269" spans="1:5" ht="15.75" x14ac:dyDescent="0.25">
      <c r="A269" s="62">
        <v>34213</v>
      </c>
      <c r="B269" s="12"/>
      <c r="C269" s="6"/>
      <c r="D269" s="7"/>
      <c r="E269" s="10"/>
    </row>
    <row r="270" spans="1:5" ht="15.75" x14ac:dyDescent="0.25">
      <c r="A270" s="62">
        <v>34243</v>
      </c>
      <c r="B270" s="12"/>
      <c r="C270" s="6"/>
      <c r="D270" s="7"/>
      <c r="E270" s="10"/>
    </row>
    <row r="271" spans="1:5" ht="15.75" x14ac:dyDescent="0.25">
      <c r="A271" s="62">
        <v>34274</v>
      </c>
      <c r="B271" s="12"/>
      <c r="C271" s="6"/>
      <c r="D271" s="7"/>
      <c r="E271" s="10"/>
    </row>
    <row r="272" spans="1:5" ht="15.75" x14ac:dyDescent="0.25">
      <c r="A272" s="62">
        <v>34304</v>
      </c>
      <c r="B272" s="12"/>
      <c r="C272" s="6"/>
      <c r="D272" s="7"/>
      <c r="E272" s="10"/>
    </row>
    <row r="273" spans="1:5" ht="15.75" x14ac:dyDescent="0.25">
      <c r="A273" s="62">
        <v>34335</v>
      </c>
      <c r="B273" s="12"/>
      <c r="C273" s="6"/>
      <c r="D273" s="7"/>
      <c r="E273" s="10"/>
    </row>
    <row r="274" spans="1:5" ht="15.75" x14ac:dyDescent="0.25">
      <c r="A274" s="62">
        <v>34366</v>
      </c>
      <c r="B274" s="12"/>
      <c r="C274" s="6"/>
      <c r="D274" s="7"/>
      <c r="E274" s="10"/>
    </row>
    <row r="275" spans="1:5" ht="15.75" x14ac:dyDescent="0.25">
      <c r="A275" s="62">
        <v>34394</v>
      </c>
      <c r="B275" s="12"/>
      <c r="C275" s="6"/>
      <c r="D275" s="7"/>
      <c r="E275" s="10"/>
    </row>
    <row r="276" spans="1:5" ht="15.75" x14ac:dyDescent="0.25">
      <c r="A276" s="62">
        <v>34425</v>
      </c>
      <c r="B276" s="12"/>
      <c r="C276" s="6"/>
      <c r="D276" s="7"/>
      <c r="E276" s="10"/>
    </row>
    <row r="277" spans="1:5" ht="15.75" x14ac:dyDescent="0.25">
      <c r="A277" s="62">
        <v>34455</v>
      </c>
      <c r="B277" s="12"/>
      <c r="C277" s="6"/>
      <c r="D277" s="7"/>
      <c r="E277" s="10"/>
    </row>
    <row r="278" spans="1:5" ht="15.75" x14ac:dyDescent="0.25">
      <c r="A278" s="62">
        <v>34486</v>
      </c>
      <c r="B278" s="12"/>
      <c r="C278" s="6"/>
      <c r="D278" s="7"/>
      <c r="E278" s="10"/>
    </row>
    <row r="279" spans="1:5" ht="15.75" x14ac:dyDescent="0.25">
      <c r="A279" s="62">
        <v>34516</v>
      </c>
      <c r="B279" s="12"/>
      <c r="C279" s="6"/>
      <c r="D279" s="7"/>
      <c r="E279" s="10"/>
    </row>
    <row r="280" spans="1:5" ht="15.75" x14ac:dyDescent="0.25">
      <c r="A280" s="62">
        <v>34547</v>
      </c>
      <c r="B280" s="12"/>
      <c r="C280" s="6"/>
      <c r="D280" s="7"/>
      <c r="E280" s="10"/>
    </row>
    <row r="281" spans="1:5" ht="15.75" x14ac:dyDescent="0.25">
      <c r="A281" s="62">
        <v>34578</v>
      </c>
      <c r="B281" s="12"/>
      <c r="C281" s="6"/>
      <c r="D281" s="7"/>
      <c r="E281" s="10"/>
    </row>
    <row r="282" spans="1:5" ht="15.75" x14ac:dyDescent="0.25">
      <c r="A282" s="62">
        <v>34608</v>
      </c>
      <c r="B282" s="12"/>
      <c r="C282" s="6"/>
      <c r="D282" s="7"/>
      <c r="E282" s="10"/>
    </row>
    <row r="283" spans="1:5" ht="15.75" x14ac:dyDescent="0.25">
      <c r="A283" s="62">
        <v>34639</v>
      </c>
      <c r="B283" s="12"/>
      <c r="C283" s="6"/>
      <c r="D283" s="7"/>
      <c r="E283" s="10"/>
    </row>
    <row r="284" spans="1:5" ht="15.75" x14ac:dyDescent="0.25">
      <c r="A284" s="62">
        <v>34669</v>
      </c>
      <c r="B284" s="12"/>
      <c r="C284" s="6"/>
      <c r="D284" s="7"/>
      <c r="E284" s="10"/>
    </row>
    <row r="285" spans="1:5" ht="15.75" x14ac:dyDescent="0.25">
      <c r="A285" s="62">
        <v>34700</v>
      </c>
      <c r="B285" s="12"/>
      <c r="C285" s="6"/>
      <c r="D285" s="7"/>
      <c r="E285" s="10"/>
    </row>
    <row r="286" spans="1:5" ht="15.75" x14ac:dyDescent="0.25">
      <c r="A286" s="62">
        <v>34731</v>
      </c>
      <c r="B286" s="12"/>
      <c r="C286" s="6"/>
      <c r="D286" s="7"/>
      <c r="E286" s="10"/>
    </row>
    <row r="287" spans="1:5" ht="15.75" x14ac:dyDescent="0.25">
      <c r="A287" s="62">
        <v>34759</v>
      </c>
      <c r="B287" s="12"/>
      <c r="C287" s="6"/>
      <c r="D287" s="7"/>
      <c r="E287" s="10"/>
    </row>
    <row r="288" spans="1:5" ht="15.75" x14ac:dyDescent="0.25">
      <c r="A288" s="62">
        <v>34790</v>
      </c>
      <c r="B288" s="12"/>
      <c r="C288" s="6"/>
      <c r="D288" s="7"/>
      <c r="E288" s="10"/>
    </row>
    <row r="289" spans="1:5" ht="15.75" x14ac:dyDescent="0.25">
      <c r="A289" s="62">
        <v>34820</v>
      </c>
      <c r="B289" s="12"/>
      <c r="C289" s="6"/>
      <c r="D289" s="7"/>
      <c r="E289" s="10"/>
    </row>
    <row r="290" spans="1:5" ht="15.75" x14ac:dyDescent="0.25">
      <c r="A290" s="62">
        <v>34851</v>
      </c>
      <c r="B290" s="12"/>
      <c r="C290" s="6"/>
      <c r="D290" s="7"/>
      <c r="E290" s="10"/>
    </row>
    <row r="291" spans="1:5" ht="15.75" x14ac:dyDescent="0.25">
      <c r="A291" s="62">
        <v>34881</v>
      </c>
      <c r="B291" s="12"/>
      <c r="C291" s="6"/>
      <c r="D291" s="7"/>
      <c r="E291" s="10"/>
    </row>
    <row r="292" spans="1:5" ht="15.75" x14ac:dyDescent="0.25">
      <c r="A292" s="62">
        <v>34912</v>
      </c>
      <c r="B292" s="12"/>
      <c r="C292" s="6"/>
      <c r="D292" s="7"/>
      <c r="E292" s="10"/>
    </row>
    <row r="293" spans="1:5" ht="15.75" x14ac:dyDescent="0.25">
      <c r="A293" s="62">
        <v>34943</v>
      </c>
      <c r="B293" s="12"/>
      <c r="C293" s="6"/>
      <c r="D293" s="7"/>
      <c r="E293" s="10"/>
    </row>
    <row r="294" spans="1:5" ht="15.75" x14ac:dyDescent="0.25">
      <c r="A294" s="62">
        <v>34973</v>
      </c>
      <c r="B294" s="12"/>
      <c r="C294" s="6"/>
      <c r="D294" s="7"/>
      <c r="E294" s="10"/>
    </row>
    <row r="295" spans="1:5" ht="15.75" x14ac:dyDescent="0.25">
      <c r="A295" s="62">
        <v>35004</v>
      </c>
      <c r="B295" s="12"/>
      <c r="C295" s="6"/>
      <c r="D295" s="7"/>
      <c r="E295" s="10"/>
    </row>
    <row r="296" spans="1:5" ht="15.75" x14ac:dyDescent="0.25">
      <c r="A296" s="62">
        <v>35034</v>
      </c>
      <c r="B296" s="12"/>
      <c r="C296" s="6"/>
      <c r="D296" s="7"/>
      <c r="E296" s="10"/>
    </row>
    <row r="297" spans="1:5" ht="15.75" x14ac:dyDescent="0.25">
      <c r="A297" s="62">
        <v>35065</v>
      </c>
      <c r="B297" s="12"/>
      <c r="C297" s="6"/>
      <c r="D297" s="7"/>
      <c r="E297" s="10"/>
    </row>
    <row r="298" spans="1:5" ht="15.75" x14ac:dyDescent="0.25">
      <c r="A298" s="62">
        <v>35096</v>
      </c>
      <c r="B298" s="12"/>
      <c r="C298" s="6"/>
      <c r="D298" s="7"/>
      <c r="E298" s="10"/>
    </row>
    <row r="299" spans="1:5" ht="15.75" x14ac:dyDescent="0.25">
      <c r="A299" s="62">
        <v>35125</v>
      </c>
      <c r="B299" s="12"/>
      <c r="C299" s="6"/>
      <c r="D299" s="7"/>
      <c r="E299" s="10"/>
    </row>
    <row r="300" spans="1:5" ht="15.75" x14ac:dyDescent="0.25">
      <c r="A300" s="62">
        <v>35156</v>
      </c>
      <c r="B300" s="12"/>
      <c r="C300" s="6"/>
      <c r="D300" s="7"/>
      <c r="E300" s="10"/>
    </row>
    <row r="301" spans="1:5" ht="15.75" x14ac:dyDescent="0.25">
      <c r="A301" s="62">
        <v>35186</v>
      </c>
      <c r="B301" s="12"/>
      <c r="C301" s="6"/>
      <c r="D301" s="7"/>
      <c r="E301" s="10"/>
    </row>
    <row r="302" spans="1:5" ht="15.75" x14ac:dyDescent="0.25">
      <c r="A302" s="62">
        <v>35217</v>
      </c>
      <c r="B302" s="12"/>
      <c r="C302" s="6"/>
      <c r="D302" s="7"/>
      <c r="E302" s="10"/>
    </row>
    <row r="303" spans="1:5" ht="15.75" x14ac:dyDescent="0.25">
      <c r="A303" s="62">
        <v>35247</v>
      </c>
      <c r="B303" s="12"/>
      <c r="C303" s="6"/>
      <c r="D303" s="7"/>
      <c r="E303" s="10"/>
    </row>
    <row r="304" spans="1:5" ht="15.75" x14ac:dyDescent="0.25">
      <c r="A304" s="62">
        <v>35278</v>
      </c>
      <c r="B304" s="12"/>
      <c r="C304" s="6"/>
      <c r="D304" s="7"/>
      <c r="E304" s="10"/>
    </row>
    <row r="305" spans="1:5" ht="15.75" x14ac:dyDescent="0.25">
      <c r="A305" s="62">
        <v>35309</v>
      </c>
      <c r="B305" s="12"/>
      <c r="C305" s="6"/>
      <c r="D305" s="7"/>
      <c r="E305" s="10"/>
    </row>
    <row r="306" spans="1:5" ht="15.75" x14ac:dyDescent="0.25">
      <c r="A306" s="62">
        <v>35339</v>
      </c>
      <c r="B306" s="12"/>
      <c r="C306" s="6"/>
      <c r="D306" s="7"/>
      <c r="E306" s="10"/>
    </row>
    <row r="307" spans="1:5" ht="15.75" x14ac:dyDescent="0.25">
      <c r="A307" s="62">
        <v>35370</v>
      </c>
      <c r="B307" s="12"/>
      <c r="C307" s="6"/>
      <c r="D307" s="7"/>
      <c r="E307" s="10"/>
    </row>
    <row r="308" spans="1:5" ht="15.75" x14ac:dyDescent="0.25">
      <c r="A308" s="62">
        <v>35400</v>
      </c>
      <c r="B308" s="12"/>
      <c r="C308" s="6"/>
      <c r="D308" s="7"/>
      <c r="E308" s="10"/>
    </row>
    <row r="309" spans="1:5" ht="15.75" x14ac:dyDescent="0.25">
      <c r="A309" s="62">
        <v>35431</v>
      </c>
      <c r="B309" s="12"/>
      <c r="C309" s="6"/>
      <c r="D309" s="7"/>
      <c r="E309" s="10"/>
    </row>
    <row r="310" spans="1:5" ht="15.75" x14ac:dyDescent="0.25">
      <c r="A310" s="62">
        <v>35462</v>
      </c>
      <c r="B310" s="12"/>
      <c r="C310" s="6"/>
      <c r="D310" s="7"/>
      <c r="E310" s="10"/>
    </row>
    <row r="311" spans="1:5" ht="15.75" x14ac:dyDescent="0.25">
      <c r="A311" s="62">
        <v>35490</v>
      </c>
      <c r="B311" s="12"/>
      <c r="C311" s="6"/>
      <c r="D311" s="7"/>
      <c r="E311" s="10"/>
    </row>
    <row r="312" spans="1:5" ht="15.75" x14ac:dyDescent="0.25">
      <c r="A312" s="62">
        <v>35521</v>
      </c>
      <c r="B312" s="12"/>
      <c r="C312" s="6"/>
      <c r="D312" s="7"/>
      <c r="E312" s="10"/>
    </row>
    <row r="313" spans="1:5" ht="15.75" x14ac:dyDescent="0.25">
      <c r="A313" s="62">
        <v>35551</v>
      </c>
      <c r="B313" s="12"/>
      <c r="C313" s="6"/>
      <c r="D313" s="7"/>
      <c r="E313" s="10"/>
    </row>
    <row r="314" spans="1:5" ht="15.75" x14ac:dyDescent="0.25">
      <c r="A314" s="62">
        <v>35582</v>
      </c>
      <c r="B314" s="12"/>
      <c r="C314" s="6"/>
      <c r="D314" s="7"/>
      <c r="E314" s="10"/>
    </row>
    <row r="315" spans="1:5" ht="15.75" x14ac:dyDescent="0.25">
      <c r="A315" s="62">
        <v>35612</v>
      </c>
      <c r="B315" s="12"/>
      <c r="C315" s="6"/>
      <c r="D315" s="7"/>
      <c r="E315" s="10"/>
    </row>
    <row r="316" spans="1:5" ht="15.75" x14ac:dyDescent="0.25">
      <c r="A316" s="62">
        <v>35643</v>
      </c>
      <c r="B316" s="12"/>
      <c r="C316" s="6"/>
      <c r="D316" s="7"/>
      <c r="E316" s="10"/>
    </row>
    <row r="317" spans="1:5" ht="15.75" x14ac:dyDescent="0.25">
      <c r="A317" s="62">
        <v>35674</v>
      </c>
      <c r="B317" s="12"/>
      <c r="C317" s="6"/>
      <c r="D317" s="7"/>
      <c r="E317" s="10"/>
    </row>
    <row r="318" spans="1:5" ht="15.75" x14ac:dyDescent="0.25">
      <c r="A318" s="62">
        <v>35704</v>
      </c>
      <c r="B318" s="12"/>
      <c r="C318" s="6"/>
      <c r="D318" s="7"/>
      <c r="E318" s="10"/>
    </row>
    <row r="319" spans="1:5" ht="15.75" x14ac:dyDescent="0.25">
      <c r="A319" s="62">
        <v>35735</v>
      </c>
      <c r="B319" s="12"/>
      <c r="C319" s="6"/>
      <c r="D319" s="7"/>
      <c r="E319" s="10"/>
    </row>
    <row r="320" spans="1:5" ht="15.75" x14ac:dyDescent="0.25">
      <c r="A320" s="62">
        <v>35765</v>
      </c>
      <c r="B320" s="12"/>
      <c r="C320" s="6"/>
      <c r="D320" s="7"/>
      <c r="E320" s="10"/>
    </row>
    <row r="321" spans="1:5" ht="15.75" x14ac:dyDescent="0.25">
      <c r="A321" s="62">
        <v>35796</v>
      </c>
      <c r="B321" s="12"/>
      <c r="C321" s="6"/>
      <c r="D321" s="7"/>
      <c r="E321" s="10"/>
    </row>
    <row r="322" spans="1:5" ht="15.75" x14ac:dyDescent="0.25">
      <c r="A322" s="62">
        <v>35827</v>
      </c>
      <c r="B322" s="12"/>
      <c r="C322" s="6"/>
      <c r="D322" s="7"/>
      <c r="E322" s="10"/>
    </row>
    <row r="323" spans="1:5" ht="15.75" x14ac:dyDescent="0.25">
      <c r="A323" s="62">
        <v>35855</v>
      </c>
      <c r="B323" s="12"/>
      <c r="C323" s="6"/>
      <c r="D323" s="7"/>
      <c r="E323" s="10"/>
    </row>
    <row r="324" spans="1:5" ht="15.75" x14ac:dyDescent="0.25">
      <c r="A324" s="62">
        <v>35886</v>
      </c>
      <c r="B324" s="12"/>
      <c r="C324" s="6"/>
      <c r="D324" s="7"/>
      <c r="E324" s="10"/>
    </row>
    <row r="325" spans="1:5" ht="15.75" x14ac:dyDescent="0.25">
      <c r="A325" s="62">
        <v>35916</v>
      </c>
      <c r="B325" s="12"/>
      <c r="C325" s="6"/>
      <c r="D325" s="7"/>
      <c r="E325" s="10"/>
    </row>
    <row r="326" spans="1:5" ht="15.75" x14ac:dyDescent="0.25">
      <c r="A326" s="62">
        <v>35947</v>
      </c>
      <c r="B326" s="12"/>
      <c r="C326" s="6"/>
      <c r="D326" s="7"/>
      <c r="E326" s="10"/>
    </row>
    <row r="327" spans="1:5" ht="15.75" x14ac:dyDescent="0.25">
      <c r="A327" s="62">
        <v>35977</v>
      </c>
      <c r="B327" s="12"/>
      <c r="C327" s="6"/>
      <c r="D327" s="7"/>
      <c r="E327" s="10"/>
    </row>
    <row r="328" spans="1:5" ht="15.75" x14ac:dyDescent="0.25">
      <c r="A328" s="62">
        <v>36008</v>
      </c>
      <c r="B328" s="12"/>
      <c r="C328" s="6"/>
      <c r="D328" s="7"/>
      <c r="E328" s="10"/>
    </row>
    <row r="329" spans="1:5" ht="15.75" x14ac:dyDescent="0.25">
      <c r="A329" s="62">
        <v>36039</v>
      </c>
      <c r="B329" s="12"/>
      <c r="C329" s="6"/>
      <c r="D329" s="7"/>
      <c r="E329" s="10"/>
    </row>
    <row r="330" spans="1:5" ht="15.75" x14ac:dyDescent="0.25">
      <c r="A330" s="62">
        <v>36069</v>
      </c>
      <c r="B330" s="12"/>
      <c r="C330" s="6"/>
      <c r="D330" s="7"/>
      <c r="E330" s="10"/>
    </row>
    <row r="331" spans="1:5" ht="15.75" x14ac:dyDescent="0.25">
      <c r="A331" s="62">
        <v>36100</v>
      </c>
      <c r="B331" s="12"/>
      <c r="C331" s="6"/>
      <c r="D331" s="7"/>
      <c r="E331" s="10"/>
    </row>
    <row r="332" spans="1:5" ht="15.75" x14ac:dyDescent="0.25">
      <c r="A332" s="62">
        <v>36130</v>
      </c>
      <c r="B332" s="12"/>
      <c r="C332" s="6"/>
      <c r="D332" s="7"/>
      <c r="E332" s="10"/>
    </row>
    <row r="333" spans="1:5" ht="15.75" x14ac:dyDescent="0.25">
      <c r="A333" s="62">
        <v>36161</v>
      </c>
      <c r="B333" s="12"/>
      <c r="C333" s="6"/>
      <c r="D333" s="7"/>
      <c r="E333" s="10"/>
    </row>
    <row r="334" spans="1:5" ht="15.75" x14ac:dyDescent="0.25">
      <c r="A334" s="62">
        <v>36192</v>
      </c>
      <c r="B334" s="12"/>
      <c r="C334" s="6"/>
      <c r="D334" s="7"/>
      <c r="E334" s="10"/>
    </row>
    <row r="335" spans="1:5" ht="15.75" x14ac:dyDescent="0.25">
      <c r="A335" s="62">
        <v>36220</v>
      </c>
      <c r="B335" s="12"/>
      <c r="C335" s="6"/>
      <c r="D335" s="7"/>
      <c r="E335" s="10"/>
    </row>
    <row r="336" spans="1:5" ht="15.75" x14ac:dyDescent="0.25">
      <c r="A336" s="62">
        <v>36251</v>
      </c>
      <c r="B336" s="12"/>
      <c r="C336" s="6"/>
      <c r="D336" s="7"/>
      <c r="E336" s="10"/>
    </row>
    <row r="337" spans="1:5" ht="15.75" x14ac:dyDescent="0.25">
      <c r="A337" s="62">
        <v>36281</v>
      </c>
      <c r="B337" s="12"/>
      <c r="C337" s="6"/>
      <c r="D337" s="7"/>
      <c r="E337" s="10"/>
    </row>
    <row r="338" spans="1:5" ht="15.75" x14ac:dyDescent="0.25">
      <c r="A338" s="62">
        <v>36312</v>
      </c>
      <c r="B338" s="12"/>
      <c r="C338" s="6"/>
      <c r="D338" s="7"/>
      <c r="E338" s="10"/>
    </row>
    <row r="339" spans="1:5" ht="15.75" x14ac:dyDescent="0.25">
      <c r="A339" s="62">
        <v>36342</v>
      </c>
      <c r="B339" s="12"/>
      <c r="C339" s="6"/>
      <c r="D339" s="7"/>
      <c r="E339" s="10"/>
    </row>
    <row r="340" spans="1:5" ht="15.75" x14ac:dyDescent="0.25">
      <c r="A340" s="62">
        <v>36373</v>
      </c>
      <c r="B340" s="12"/>
      <c r="C340" s="6"/>
      <c r="D340" s="7"/>
      <c r="E340" s="10"/>
    </row>
    <row r="341" spans="1:5" ht="15.75" x14ac:dyDescent="0.25">
      <c r="A341" s="62">
        <v>36404</v>
      </c>
      <c r="B341" s="12"/>
      <c r="C341" s="6"/>
      <c r="D341" s="7"/>
      <c r="E341" s="10"/>
    </row>
    <row r="342" spans="1:5" ht="15.75" x14ac:dyDescent="0.25">
      <c r="A342" s="62">
        <v>36434</v>
      </c>
      <c r="B342" s="12"/>
      <c r="C342" s="6"/>
      <c r="D342" s="7"/>
      <c r="E342" s="10"/>
    </row>
    <row r="343" spans="1:5" ht="15.75" x14ac:dyDescent="0.25">
      <c r="A343" s="62">
        <v>36465</v>
      </c>
      <c r="B343" s="12"/>
      <c r="C343" s="6"/>
      <c r="D343" s="7"/>
      <c r="E343" s="10"/>
    </row>
    <row r="344" spans="1:5" ht="15.75" x14ac:dyDescent="0.25">
      <c r="A344" s="62">
        <v>36495</v>
      </c>
      <c r="B344" s="12"/>
      <c r="C344" s="6"/>
      <c r="D344" s="7"/>
      <c r="E344" s="10"/>
    </row>
    <row r="345" spans="1:5" ht="15.75" x14ac:dyDescent="0.25">
      <c r="A345" s="62">
        <v>36526</v>
      </c>
      <c r="B345" s="12"/>
      <c r="C345" s="6"/>
      <c r="D345" s="7"/>
      <c r="E345" s="10"/>
    </row>
    <row r="346" spans="1:5" ht="15.75" x14ac:dyDescent="0.25">
      <c r="A346" s="62">
        <v>36557</v>
      </c>
      <c r="B346" s="12"/>
      <c r="C346" s="6"/>
      <c r="D346" s="7"/>
      <c r="E346" s="10"/>
    </row>
    <row r="347" spans="1:5" ht="15.75" x14ac:dyDescent="0.25">
      <c r="A347" s="62">
        <v>36586</v>
      </c>
      <c r="B347" s="12"/>
      <c r="C347" s="6"/>
      <c r="D347" s="7"/>
      <c r="E347" s="10"/>
    </row>
    <row r="348" spans="1:5" ht="15.75" x14ac:dyDescent="0.25">
      <c r="A348" s="62">
        <v>36617</v>
      </c>
      <c r="B348" s="12"/>
      <c r="C348" s="6"/>
      <c r="D348" s="7"/>
      <c r="E348" s="10"/>
    </row>
    <row r="349" spans="1:5" ht="15.75" x14ac:dyDescent="0.25">
      <c r="A349" s="62">
        <v>36647</v>
      </c>
      <c r="B349" s="12"/>
      <c r="C349" s="6"/>
      <c r="D349" s="7"/>
      <c r="E349" s="10"/>
    </row>
    <row r="350" spans="1:5" ht="15.75" x14ac:dyDescent="0.25">
      <c r="A350" s="62">
        <v>36678</v>
      </c>
      <c r="B350" s="12"/>
      <c r="C350" s="6"/>
      <c r="D350" s="7"/>
      <c r="E350" s="10"/>
    </row>
    <row r="351" spans="1:5" ht="15.75" x14ac:dyDescent="0.25">
      <c r="A351" s="62">
        <v>36708</v>
      </c>
      <c r="B351" s="12"/>
      <c r="C351" s="6"/>
      <c r="D351" s="7"/>
      <c r="E351" s="10"/>
    </row>
    <row r="352" spans="1:5" ht="15.75" x14ac:dyDescent="0.25">
      <c r="A352" s="62">
        <v>36739</v>
      </c>
      <c r="B352" s="12"/>
      <c r="C352" s="6"/>
      <c r="D352" s="7"/>
      <c r="E352" s="10"/>
    </row>
    <row r="353" spans="1:5" ht="15.75" x14ac:dyDescent="0.25">
      <c r="A353" s="62">
        <v>36770</v>
      </c>
      <c r="B353" s="12"/>
      <c r="C353" s="6"/>
      <c r="D353" s="7"/>
      <c r="E353" s="10"/>
    </row>
    <row r="354" spans="1:5" ht="15.75" x14ac:dyDescent="0.25">
      <c r="A354" s="62">
        <v>36800</v>
      </c>
      <c r="B354" s="12"/>
      <c r="C354" s="6"/>
      <c r="D354" s="7"/>
      <c r="E354" s="10"/>
    </row>
    <row r="355" spans="1:5" ht="15.75" x14ac:dyDescent="0.25">
      <c r="A355" s="62">
        <v>36831</v>
      </c>
      <c r="B355" s="12"/>
      <c r="C355" s="6"/>
      <c r="D355" s="7"/>
      <c r="E355" s="10"/>
    </row>
    <row r="356" spans="1:5" ht="15.75" x14ac:dyDescent="0.25">
      <c r="A356" s="62">
        <v>36861</v>
      </c>
      <c r="B356" s="12"/>
      <c r="C356" s="6"/>
      <c r="D356" s="7"/>
      <c r="E356" s="10"/>
    </row>
    <row r="357" spans="1:5" ht="15.75" x14ac:dyDescent="0.25">
      <c r="A357" s="62">
        <v>36892</v>
      </c>
      <c r="B357" s="12"/>
      <c r="C357" s="6"/>
      <c r="D357" s="7"/>
      <c r="E357" s="10"/>
    </row>
    <row r="358" spans="1:5" ht="15.75" x14ac:dyDescent="0.25">
      <c r="A358" s="62">
        <v>36923</v>
      </c>
      <c r="B358" s="12"/>
      <c r="C358" s="6"/>
      <c r="D358" s="7"/>
      <c r="E358" s="10"/>
    </row>
    <row r="359" spans="1:5" ht="15.75" x14ac:dyDescent="0.25">
      <c r="A359" s="62">
        <v>36951</v>
      </c>
      <c r="B359" s="12"/>
      <c r="C359" s="6"/>
      <c r="D359" s="7"/>
      <c r="E359" s="10"/>
    </row>
    <row r="360" spans="1:5" ht="15.75" x14ac:dyDescent="0.25">
      <c r="A360" s="62">
        <v>36982</v>
      </c>
      <c r="B360" s="12"/>
      <c r="C360" s="6"/>
      <c r="D360" s="7"/>
      <c r="E360" s="10"/>
    </row>
    <row r="361" spans="1:5" ht="15.75" x14ac:dyDescent="0.25">
      <c r="A361" s="62">
        <v>37012</v>
      </c>
      <c r="B361" s="12"/>
      <c r="C361" s="6"/>
      <c r="D361" s="7"/>
      <c r="E361" s="10"/>
    </row>
    <row r="362" spans="1:5" ht="15.75" x14ac:dyDescent="0.25">
      <c r="A362" s="62">
        <v>37043</v>
      </c>
      <c r="B362" s="12"/>
      <c r="C362" s="6"/>
      <c r="D362" s="7"/>
      <c r="E362" s="10"/>
    </row>
    <row r="363" spans="1:5" ht="15.75" x14ac:dyDescent="0.25">
      <c r="A363" s="62">
        <v>37073</v>
      </c>
      <c r="B363" s="12"/>
      <c r="C363" s="6"/>
      <c r="D363" s="7"/>
      <c r="E363" s="10"/>
    </row>
    <row r="364" spans="1:5" ht="15.75" x14ac:dyDescent="0.25">
      <c r="A364" s="62">
        <v>37104</v>
      </c>
      <c r="B364" s="12"/>
      <c r="C364" s="6"/>
      <c r="D364" s="7"/>
      <c r="E364" s="10"/>
    </row>
    <row r="365" spans="1:5" ht="15.75" x14ac:dyDescent="0.25">
      <c r="A365" s="62">
        <v>37135</v>
      </c>
      <c r="B365" s="12"/>
      <c r="C365" s="6"/>
      <c r="D365" s="7"/>
      <c r="E365" s="10"/>
    </row>
    <row r="366" spans="1:5" ht="15.75" x14ac:dyDescent="0.25">
      <c r="A366" s="62">
        <v>37165</v>
      </c>
      <c r="B366" s="12"/>
      <c r="C366" s="6"/>
      <c r="D366" s="7"/>
      <c r="E366" s="10"/>
    </row>
    <row r="367" spans="1:5" ht="15.75" x14ac:dyDescent="0.25">
      <c r="A367" s="62">
        <v>37196</v>
      </c>
      <c r="B367" s="12"/>
      <c r="C367" s="6"/>
      <c r="D367" s="7"/>
      <c r="E367" s="10"/>
    </row>
    <row r="368" spans="1:5" ht="15.75" x14ac:dyDescent="0.25">
      <c r="A368" s="62">
        <v>37226</v>
      </c>
      <c r="B368" s="12"/>
      <c r="C368" s="6"/>
      <c r="D368" s="7"/>
      <c r="E368" s="10"/>
    </row>
    <row r="369" spans="1:5" ht="15.75" x14ac:dyDescent="0.25">
      <c r="A369" s="62">
        <v>37257</v>
      </c>
      <c r="B369" s="12"/>
      <c r="C369" s="6"/>
      <c r="D369" s="7"/>
      <c r="E369" s="10"/>
    </row>
    <row r="370" spans="1:5" ht="15.75" x14ac:dyDescent="0.25">
      <c r="A370" s="62">
        <v>37288</v>
      </c>
      <c r="B370" s="12"/>
      <c r="C370" s="6"/>
      <c r="D370" s="7"/>
      <c r="E370" s="10"/>
    </row>
    <row r="371" spans="1:5" ht="15.75" x14ac:dyDescent="0.25">
      <c r="A371" s="62">
        <v>37316</v>
      </c>
      <c r="B371" s="12"/>
      <c r="C371" s="6"/>
      <c r="D371" s="7"/>
      <c r="E371" s="10"/>
    </row>
    <row r="372" spans="1:5" ht="15.75" x14ac:dyDescent="0.25">
      <c r="A372" s="62">
        <v>37347</v>
      </c>
      <c r="B372" s="12"/>
      <c r="C372" s="6"/>
      <c r="D372" s="7"/>
      <c r="E372" s="10"/>
    </row>
    <row r="373" spans="1:5" ht="15.75" x14ac:dyDescent="0.25">
      <c r="A373" s="62">
        <v>37377</v>
      </c>
      <c r="B373" s="12"/>
      <c r="C373" s="6"/>
      <c r="D373" s="7"/>
      <c r="E373" s="10"/>
    </row>
    <row r="374" spans="1:5" ht="15.75" x14ac:dyDescent="0.25">
      <c r="A374" s="62">
        <v>37408</v>
      </c>
      <c r="B374" s="12"/>
      <c r="C374" s="6"/>
      <c r="D374" s="7"/>
      <c r="E374" s="10"/>
    </row>
    <row r="375" spans="1:5" ht="15.75" x14ac:dyDescent="0.25">
      <c r="A375" s="62">
        <v>37438</v>
      </c>
      <c r="B375" s="12"/>
      <c r="C375" s="6"/>
      <c r="D375" s="7"/>
      <c r="E375" s="10"/>
    </row>
    <row r="376" spans="1:5" ht="15.75" x14ac:dyDescent="0.25">
      <c r="A376" s="62">
        <v>37469</v>
      </c>
      <c r="B376" s="12"/>
      <c r="C376" s="6"/>
      <c r="D376" s="7"/>
      <c r="E376" s="10"/>
    </row>
    <row r="377" spans="1:5" ht="15.75" x14ac:dyDescent="0.25">
      <c r="A377" s="62">
        <v>37500</v>
      </c>
      <c r="B377" s="12"/>
      <c r="C377" s="6"/>
      <c r="D377" s="7"/>
      <c r="E377" s="10"/>
    </row>
    <row r="378" spans="1:5" ht="15.75" x14ac:dyDescent="0.25">
      <c r="A378" s="62">
        <v>37530</v>
      </c>
      <c r="B378" s="12"/>
      <c r="C378" s="6"/>
      <c r="D378" s="7"/>
      <c r="E378" s="10"/>
    </row>
    <row r="379" spans="1:5" ht="15.75" x14ac:dyDescent="0.25">
      <c r="A379" s="62">
        <v>37561</v>
      </c>
      <c r="B379" s="12"/>
      <c r="C379" s="6"/>
      <c r="D379" s="7"/>
      <c r="E379" s="10"/>
    </row>
    <row r="380" spans="1:5" ht="15.75" x14ac:dyDescent="0.25">
      <c r="A380" s="62">
        <v>37591</v>
      </c>
      <c r="B380" s="12"/>
      <c r="C380" s="6"/>
      <c r="D380" s="7"/>
      <c r="E380" s="10"/>
    </row>
    <row r="381" spans="1:5" ht="15.75" x14ac:dyDescent="0.25">
      <c r="A381" s="62">
        <v>37622</v>
      </c>
      <c r="B381" s="12"/>
      <c r="C381" s="6"/>
      <c r="D381" s="7"/>
      <c r="E381" s="10"/>
    </row>
    <row r="382" spans="1:5" ht="15.75" x14ac:dyDescent="0.25">
      <c r="A382" s="62">
        <v>37653</v>
      </c>
      <c r="B382" s="12"/>
      <c r="C382" s="6"/>
      <c r="D382" s="7"/>
      <c r="E382" s="10"/>
    </row>
    <row r="383" spans="1:5" ht="15.75" x14ac:dyDescent="0.25">
      <c r="A383" s="62">
        <v>37681</v>
      </c>
      <c r="B383" s="12"/>
      <c r="C383" s="6"/>
      <c r="D383" s="7"/>
      <c r="E383" s="10"/>
    </row>
    <row r="384" spans="1:5" ht="15.75" x14ac:dyDescent="0.25">
      <c r="A384" s="62">
        <v>37712</v>
      </c>
      <c r="B384" s="12"/>
      <c r="C384" s="6"/>
      <c r="D384" s="7"/>
      <c r="E384" s="10"/>
    </row>
    <row r="385" spans="1:5" ht="15.75" x14ac:dyDescent="0.25">
      <c r="A385" s="62">
        <v>37742</v>
      </c>
      <c r="B385" s="12"/>
      <c r="C385" s="6"/>
      <c r="D385" s="7"/>
      <c r="E385" s="10"/>
    </row>
    <row r="386" spans="1:5" ht="15.75" x14ac:dyDescent="0.25">
      <c r="A386" s="62">
        <v>37773</v>
      </c>
      <c r="B386" s="12"/>
      <c r="C386" s="6"/>
      <c r="D386" s="7"/>
      <c r="E386" s="10"/>
    </row>
    <row r="387" spans="1:5" ht="15.75" x14ac:dyDescent="0.25">
      <c r="A387" s="62">
        <v>37803</v>
      </c>
      <c r="B387" s="12"/>
      <c r="C387" s="6"/>
      <c r="D387" s="7"/>
      <c r="E387" s="10"/>
    </row>
    <row r="388" spans="1:5" ht="15.75" x14ac:dyDescent="0.25">
      <c r="A388" s="62">
        <v>37834</v>
      </c>
      <c r="B388" s="12"/>
      <c r="C388" s="6"/>
      <c r="D388" s="7"/>
      <c r="E388" s="10"/>
    </row>
    <row r="389" spans="1:5" ht="15.75" x14ac:dyDescent="0.25">
      <c r="A389" s="62">
        <v>37865</v>
      </c>
      <c r="B389" s="12"/>
      <c r="C389" s="6"/>
      <c r="D389" s="7"/>
      <c r="E389" s="10"/>
    </row>
    <row r="390" spans="1:5" ht="15.75" x14ac:dyDescent="0.25">
      <c r="A390" s="62">
        <v>37895</v>
      </c>
      <c r="B390" s="12"/>
      <c r="C390" s="6"/>
      <c r="D390" s="7"/>
      <c r="E390" s="10"/>
    </row>
    <row r="391" spans="1:5" ht="15.75" x14ac:dyDescent="0.25">
      <c r="A391" s="62">
        <v>37926</v>
      </c>
      <c r="B391" s="12"/>
      <c r="C391" s="6"/>
      <c r="D391" s="7"/>
      <c r="E391" s="10"/>
    </row>
    <row r="392" spans="1:5" ht="15.75" x14ac:dyDescent="0.25">
      <c r="A392" s="62">
        <v>37956</v>
      </c>
      <c r="B392" s="12"/>
      <c r="C392" s="6"/>
      <c r="D392" s="7"/>
      <c r="E392" s="10"/>
    </row>
    <row r="393" spans="1:5" ht="15.75" x14ac:dyDescent="0.25">
      <c r="A393" s="62">
        <v>37987</v>
      </c>
      <c r="B393" s="12"/>
      <c r="C393" s="6"/>
      <c r="D393" s="7"/>
      <c r="E393" s="10"/>
    </row>
    <row r="394" spans="1:5" ht="15.75" x14ac:dyDescent="0.25">
      <c r="A394" s="62">
        <v>38018</v>
      </c>
      <c r="B394" s="12"/>
      <c r="C394" s="6"/>
      <c r="D394" s="33"/>
      <c r="E394" s="10"/>
    </row>
    <row r="395" spans="1:5" ht="15.75" x14ac:dyDescent="0.25">
      <c r="A395" s="62">
        <v>38047</v>
      </c>
      <c r="B395" s="12"/>
      <c r="C395" s="6"/>
      <c r="D395" s="7"/>
      <c r="E395" s="10"/>
    </row>
    <row r="396" spans="1:5" ht="15.75" x14ac:dyDescent="0.25">
      <c r="A396" s="62">
        <v>38078</v>
      </c>
      <c r="B396" s="12"/>
      <c r="C396" s="6"/>
      <c r="D396" s="7"/>
      <c r="E396" s="10"/>
    </row>
    <row r="397" spans="1:5" ht="15.75" x14ac:dyDescent="0.25">
      <c r="A397" s="62">
        <v>38108</v>
      </c>
      <c r="B397" s="12"/>
      <c r="C397" s="6"/>
      <c r="D397" s="33"/>
      <c r="E397" s="10"/>
    </row>
    <row r="398" spans="1:5" ht="15.75" x14ac:dyDescent="0.25">
      <c r="A398" s="62">
        <v>38139</v>
      </c>
      <c r="B398" s="12"/>
      <c r="C398" s="6"/>
      <c r="D398" s="7"/>
      <c r="E398" s="10"/>
    </row>
    <row r="399" spans="1:5" ht="15.75" x14ac:dyDescent="0.25">
      <c r="A399" s="62">
        <v>38169</v>
      </c>
      <c r="B399" s="12"/>
      <c r="C399" s="6"/>
      <c r="D399" s="7"/>
      <c r="E399" s="10"/>
    </row>
    <row r="400" spans="1:5" ht="15.75" x14ac:dyDescent="0.25">
      <c r="A400" s="62">
        <v>38200</v>
      </c>
      <c r="B400" s="12"/>
      <c r="C400" s="6"/>
      <c r="D400" s="33"/>
      <c r="E400" s="10"/>
    </row>
    <row r="401" spans="1:5" ht="15.75" x14ac:dyDescent="0.25">
      <c r="A401" s="62">
        <v>38231</v>
      </c>
      <c r="B401" s="12"/>
      <c r="C401" s="6"/>
      <c r="D401" s="7"/>
      <c r="E401" s="10"/>
    </row>
    <row r="402" spans="1:5" ht="15.75" x14ac:dyDescent="0.25">
      <c r="A402" s="62">
        <v>38261</v>
      </c>
      <c r="B402" s="12"/>
      <c r="C402" s="6"/>
      <c r="D402" s="7"/>
      <c r="E402" s="10"/>
    </row>
    <row r="403" spans="1:5" ht="15.75" x14ac:dyDescent="0.25">
      <c r="A403" s="62">
        <v>38292</v>
      </c>
      <c r="B403" s="12"/>
      <c r="C403" s="6"/>
      <c r="D403" s="33"/>
      <c r="E403" s="10"/>
    </row>
    <row r="404" spans="1:5" ht="15.75" x14ac:dyDescent="0.25">
      <c r="A404" s="62">
        <v>38322</v>
      </c>
      <c r="B404" s="12"/>
      <c r="C404" s="6"/>
      <c r="D404" s="7"/>
      <c r="E404" s="10"/>
    </row>
    <row r="405" spans="1:5" ht="15.75" x14ac:dyDescent="0.25">
      <c r="A405" s="62">
        <v>38353</v>
      </c>
      <c r="B405" s="12"/>
      <c r="C405" s="6"/>
      <c r="D405" s="32"/>
      <c r="E405" s="10"/>
    </row>
    <row r="406" spans="1:5" ht="15.75" x14ac:dyDescent="0.25">
      <c r="A406" s="62">
        <v>38384</v>
      </c>
      <c r="B406" s="12"/>
      <c r="C406" s="6"/>
      <c r="D406" s="33"/>
      <c r="E406" s="10"/>
    </row>
    <row r="407" spans="1:5" ht="15.75" x14ac:dyDescent="0.25">
      <c r="A407" s="62">
        <v>38412</v>
      </c>
      <c r="B407" s="12"/>
      <c r="C407" s="6"/>
      <c r="D407" s="32"/>
      <c r="E407" s="10"/>
    </row>
    <row r="408" spans="1:5" ht="15.75" x14ac:dyDescent="0.25">
      <c r="A408" s="62">
        <v>38443</v>
      </c>
      <c r="B408" s="12"/>
      <c r="C408" s="6"/>
      <c r="D408" s="32"/>
      <c r="E408" s="10"/>
    </row>
    <row r="409" spans="1:5" ht="15.75" x14ac:dyDescent="0.25">
      <c r="A409" s="62">
        <v>38473</v>
      </c>
      <c r="B409" s="12"/>
      <c r="C409" s="6"/>
      <c r="D409" s="33"/>
      <c r="E409" s="10"/>
    </row>
    <row r="410" spans="1:5" ht="15.75" x14ac:dyDescent="0.25">
      <c r="A410" s="62">
        <v>38504</v>
      </c>
      <c r="B410" s="12"/>
      <c r="C410" s="6"/>
      <c r="D410" s="32"/>
      <c r="E410" s="10"/>
    </row>
    <row r="411" spans="1:5" ht="15.75" x14ac:dyDescent="0.25">
      <c r="A411" s="62">
        <v>38534</v>
      </c>
      <c r="B411" s="12"/>
      <c r="C411" s="6"/>
      <c r="D411" s="32"/>
      <c r="E411" s="10"/>
    </row>
    <row r="412" spans="1:5" ht="15.75" x14ac:dyDescent="0.25">
      <c r="A412" s="62">
        <v>38565</v>
      </c>
      <c r="B412" s="12"/>
      <c r="C412" s="6"/>
      <c r="D412" s="33"/>
      <c r="E412" s="10"/>
    </row>
    <row r="413" spans="1:5" ht="15.75" x14ac:dyDescent="0.25">
      <c r="A413" s="62">
        <v>38596</v>
      </c>
      <c r="B413" s="12"/>
      <c r="C413" s="6"/>
      <c r="D413" s="32"/>
      <c r="E413" s="10"/>
    </row>
    <row r="414" spans="1:5" ht="15.75" x14ac:dyDescent="0.25">
      <c r="A414" s="62">
        <v>38626</v>
      </c>
      <c r="B414" s="12"/>
      <c r="C414" s="6"/>
      <c r="D414" s="33"/>
      <c r="E414" s="10"/>
    </row>
    <row r="415" spans="1:5" ht="15.75" x14ac:dyDescent="0.25">
      <c r="A415" s="62">
        <v>38657</v>
      </c>
      <c r="B415" s="12"/>
      <c r="C415" s="6"/>
      <c r="D415" s="33"/>
      <c r="E415" s="10"/>
    </row>
    <row r="416" spans="1:5" ht="15.75" x14ac:dyDescent="0.25">
      <c r="A416" s="62">
        <v>38687</v>
      </c>
      <c r="B416" s="12"/>
      <c r="C416" s="6"/>
      <c r="D416" s="32"/>
      <c r="E416" s="10"/>
    </row>
    <row r="417" spans="1:5" ht="15.75" x14ac:dyDescent="0.25">
      <c r="A417" s="62">
        <v>38718</v>
      </c>
      <c r="B417" s="12"/>
      <c r="C417" s="6"/>
      <c r="D417" s="32"/>
      <c r="E417" s="10"/>
    </row>
    <row r="418" spans="1:5" ht="15.75" x14ac:dyDescent="0.25">
      <c r="A418" s="62">
        <v>38749</v>
      </c>
      <c r="B418" s="12"/>
      <c r="C418" s="6"/>
      <c r="D418" s="32"/>
      <c r="E418" s="10"/>
    </row>
    <row r="419" spans="1:5" ht="15.75" x14ac:dyDescent="0.25">
      <c r="A419" s="62">
        <v>38777</v>
      </c>
      <c r="B419" s="12"/>
      <c r="C419" s="6"/>
      <c r="D419" s="32"/>
      <c r="E419" s="10"/>
    </row>
    <row r="420" spans="1:5" ht="15.75" x14ac:dyDescent="0.25">
      <c r="A420" s="62">
        <v>38808</v>
      </c>
      <c r="B420" s="12"/>
      <c r="C420" s="6"/>
      <c r="D420" s="32"/>
      <c r="E420" s="10"/>
    </row>
    <row r="421" spans="1:5" ht="15.75" x14ac:dyDescent="0.25">
      <c r="A421" s="62">
        <v>38838</v>
      </c>
      <c r="B421" s="12"/>
      <c r="C421" s="6"/>
      <c r="D421" s="33"/>
      <c r="E421" s="10"/>
    </row>
    <row r="422" spans="1:5" ht="15.75" x14ac:dyDescent="0.25">
      <c r="A422" s="62">
        <v>38869</v>
      </c>
      <c r="B422" s="12"/>
      <c r="C422" s="6"/>
      <c r="D422" s="32"/>
      <c r="E422" s="10"/>
    </row>
    <row r="423" spans="1:5" ht="15.75" x14ac:dyDescent="0.25">
      <c r="A423" s="62">
        <v>38899</v>
      </c>
      <c r="B423" s="12"/>
      <c r="C423" s="6"/>
      <c r="D423" s="32"/>
      <c r="E423" s="10"/>
    </row>
    <row r="424" spans="1:5" ht="15.75" x14ac:dyDescent="0.25">
      <c r="A424" s="62">
        <v>38930</v>
      </c>
      <c r="B424" s="12"/>
      <c r="C424" s="6"/>
      <c r="D424" s="33"/>
      <c r="E424" s="10"/>
    </row>
    <row r="425" spans="1:5" ht="15.75" x14ac:dyDescent="0.25">
      <c r="A425" s="62">
        <v>38961</v>
      </c>
      <c r="B425" s="12"/>
      <c r="C425" s="6"/>
      <c r="D425" s="32"/>
      <c r="E425" s="10"/>
    </row>
    <row r="426" spans="1:5" ht="15.75" x14ac:dyDescent="0.25">
      <c r="A426" s="62">
        <v>38991</v>
      </c>
      <c r="B426" s="12"/>
      <c r="C426" s="6"/>
      <c r="D426" s="32"/>
      <c r="E426" s="10"/>
    </row>
    <row r="427" spans="1:5" ht="15.75" x14ac:dyDescent="0.25">
      <c r="A427" s="62">
        <v>39022</v>
      </c>
      <c r="B427" s="12"/>
      <c r="C427" s="6"/>
      <c r="D427" s="33"/>
      <c r="E427" s="10"/>
    </row>
    <row r="428" spans="1:5" ht="15.75" x14ac:dyDescent="0.25">
      <c r="A428" s="62">
        <v>39052</v>
      </c>
      <c r="B428" s="12"/>
      <c r="C428" s="6"/>
      <c r="D428" s="32"/>
      <c r="E428" s="10"/>
    </row>
    <row r="429" spans="1:5" ht="15.75" x14ac:dyDescent="0.25">
      <c r="A429" s="62">
        <v>39083</v>
      </c>
      <c r="B429" s="12"/>
      <c r="C429" s="6"/>
      <c r="D429" s="32"/>
      <c r="E429" s="10"/>
    </row>
    <row r="430" spans="1:5" ht="15.75" x14ac:dyDescent="0.25">
      <c r="A430" s="62">
        <v>39114</v>
      </c>
      <c r="B430" s="12"/>
      <c r="C430" s="6"/>
      <c r="D430" s="33"/>
      <c r="E430" s="10"/>
    </row>
    <row r="431" spans="1:5" ht="15.75" x14ac:dyDescent="0.25">
      <c r="A431" s="62">
        <v>39142</v>
      </c>
      <c r="B431" s="12"/>
      <c r="C431" s="6"/>
      <c r="D431" s="32"/>
      <c r="E431" s="10"/>
    </row>
    <row r="432" spans="1:5" ht="15.75" x14ac:dyDescent="0.25">
      <c r="A432" s="62">
        <v>39173</v>
      </c>
      <c r="B432" s="12"/>
      <c r="C432" s="6"/>
      <c r="D432" s="32"/>
      <c r="E432" s="10"/>
    </row>
    <row r="433" spans="1:5" ht="15.75" x14ac:dyDescent="0.25">
      <c r="A433" s="62">
        <v>39203</v>
      </c>
      <c r="B433" s="12"/>
      <c r="C433" s="6"/>
      <c r="D433" s="33"/>
      <c r="E433" s="10"/>
    </row>
    <row r="434" spans="1:5" ht="15.75" x14ac:dyDescent="0.25">
      <c r="A434" s="62">
        <v>39234</v>
      </c>
      <c r="B434" s="12"/>
      <c r="C434" s="6"/>
      <c r="D434" s="32"/>
      <c r="E434" s="10"/>
    </row>
    <row r="435" spans="1:5" ht="15.75" x14ac:dyDescent="0.25">
      <c r="A435" s="62">
        <v>39264</v>
      </c>
      <c r="B435" s="12"/>
      <c r="C435" s="6"/>
      <c r="D435" s="32"/>
      <c r="E435" s="10"/>
    </row>
    <row r="436" spans="1:5" ht="15.75" x14ac:dyDescent="0.25">
      <c r="A436" s="62">
        <v>39295</v>
      </c>
      <c r="B436" s="12"/>
      <c r="C436" s="6"/>
      <c r="D436" s="33"/>
      <c r="E436" s="10"/>
    </row>
    <row r="437" spans="1:5" ht="15.75" x14ac:dyDescent="0.25">
      <c r="A437" s="62">
        <v>39326</v>
      </c>
      <c r="B437" s="12"/>
      <c r="C437" s="6"/>
      <c r="D437" s="32"/>
      <c r="E437" s="10"/>
    </row>
    <row r="438" spans="1:5" ht="15.75" x14ac:dyDescent="0.25">
      <c r="A438" s="62">
        <v>39356</v>
      </c>
      <c r="B438" s="12"/>
      <c r="C438" s="6"/>
      <c r="D438" s="32"/>
      <c r="E438" s="10"/>
    </row>
    <row r="439" spans="1:5" ht="15.75" x14ac:dyDescent="0.25">
      <c r="A439" s="62">
        <v>39387</v>
      </c>
      <c r="B439" s="12"/>
      <c r="C439" s="6"/>
      <c r="D439" s="33"/>
      <c r="E439" s="10"/>
    </row>
    <row r="440" spans="1:5" ht="15.75" x14ac:dyDescent="0.25">
      <c r="A440" s="62">
        <v>39417</v>
      </c>
      <c r="B440" s="12"/>
      <c r="C440" s="6"/>
      <c r="D440" s="32"/>
      <c r="E440" s="10"/>
    </row>
    <row r="441" spans="1:5" ht="15.75" x14ac:dyDescent="0.25">
      <c r="A441" s="62">
        <v>39448</v>
      </c>
      <c r="B441" s="12"/>
      <c r="C441" s="6"/>
      <c r="D441" s="32"/>
      <c r="E441" s="10"/>
    </row>
    <row r="442" spans="1:5" ht="15.75" x14ac:dyDescent="0.25">
      <c r="A442" s="62">
        <v>39479</v>
      </c>
      <c r="B442" s="12"/>
      <c r="C442" s="6"/>
      <c r="D442" s="33"/>
      <c r="E442" s="10"/>
    </row>
    <row r="443" spans="1:5" ht="15.75" x14ac:dyDescent="0.25">
      <c r="A443" s="62">
        <v>39508</v>
      </c>
      <c r="B443" s="12"/>
      <c r="C443" s="6"/>
      <c r="D443" s="32"/>
      <c r="E443" s="10"/>
    </row>
    <row r="444" spans="1:5" ht="15.75" x14ac:dyDescent="0.25">
      <c r="A444" s="62">
        <v>39539</v>
      </c>
      <c r="B444" s="12"/>
      <c r="C444" s="6"/>
      <c r="D444" s="32"/>
      <c r="E444" s="10"/>
    </row>
    <row r="445" spans="1:5" ht="15.75" x14ac:dyDescent="0.25">
      <c r="A445" s="62">
        <v>39569</v>
      </c>
      <c r="B445" s="12"/>
      <c r="C445" s="6"/>
      <c r="D445" s="33"/>
      <c r="E445" s="10"/>
    </row>
    <row r="446" spans="1:5" ht="15.75" x14ac:dyDescent="0.25">
      <c r="A446" s="62">
        <v>39600</v>
      </c>
      <c r="B446" s="12"/>
      <c r="C446" s="6"/>
      <c r="D446" s="32"/>
      <c r="E446" s="10"/>
    </row>
    <row r="447" spans="1:5" ht="15.75" x14ac:dyDescent="0.25">
      <c r="A447" s="62">
        <v>39630</v>
      </c>
      <c r="B447" s="12"/>
      <c r="C447" s="6"/>
      <c r="D447" s="33"/>
      <c r="E447" s="10"/>
    </row>
    <row r="448" spans="1:5" ht="15.75" x14ac:dyDescent="0.25">
      <c r="A448" s="62">
        <v>39661</v>
      </c>
      <c r="B448" s="12"/>
      <c r="C448" s="6"/>
      <c r="D448" s="33"/>
      <c r="E448" s="10"/>
    </row>
    <row r="449" spans="1:5" ht="15.75" x14ac:dyDescent="0.25">
      <c r="A449" s="62">
        <v>39692</v>
      </c>
      <c r="B449" s="12"/>
      <c r="C449" s="6"/>
      <c r="D449" s="33"/>
      <c r="E449" s="10"/>
    </row>
    <row r="450" spans="1:5" ht="15.75" x14ac:dyDescent="0.25">
      <c r="A450" s="62">
        <v>39722</v>
      </c>
      <c r="B450" s="12"/>
      <c r="C450" s="6"/>
      <c r="D450" s="33"/>
      <c r="E450" s="10"/>
    </row>
    <row r="451" spans="1:5" ht="15.75" x14ac:dyDescent="0.25">
      <c r="A451" s="62">
        <v>39753</v>
      </c>
      <c r="B451" s="12"/>
      <c r="C451" s="6"/>
      <c r="D451" s="33"/>
      <c r="E451" s="10"/>
    </row>
    <row r="452" spans="1:5" ht="15.75" x14ac:dyDescent="0.25">
      <c r="A452" s="62">
        <v>39783</v>
      </c>
      <c r="B452" s="12"/>
      <c r="C452" s="6"/>
      <c r="D452" s="33"/>
      <c r="E452" s="10"/>
    </row>
    <row r="453" spans="1:5" ht="15.75" x14ac:dyDescent="0.25">
      <c r="A453" s="62">
        <v>39814</v>
      </c>
      <c r="B453" s="12"/>
      <c r="C453" s="6"/>
      <c r="D453" s="33"/>
      <c r="E453" s="10"/>
    </row>
    <row r="454" spans="1:5" ht="15.75" x14ac:dyDescent="0.25">
      <c r="A454" s="62">
        <v>39845</v>
      </c>
      <c r="B454" s="12"/>
      <c r="C454" s="6"/>
      <c r="D454" s="33"/>
      <c r="E454" s="10"/>
    </row>
    <row r="455" spans="1:5" ht="15.75" x14ac:dyDescent="0.25">
      <c r="A455" s="62">
        <v>39873</v>
      </c>
      <c r="B455" s="12"/>
      <c r="C455" s="6"/>
      <c r="D455" s="33"/>
      <c r="E455" s="10"/>
    </row>
    <row r="456" spans="1:5" ht="15.75" x14ac:dyDescent="0.25">
      <c r="A456" s="62">
        <v>39904</v>
      </c>
      <c r="B456" s="12"/>
      <c r="C456" s="6"/>
      <c r="D456" s="33"/>
      <c r="E456" s="10"/>
    </row>
    <row r="457" spans="1:5" ht="15.75" x14ac:dyDescent="0.25">
      <c r="A457" s="62">
        <v>39934</v>
      </c>
      <c r="B457" s="12"/>
      <c r="C457" s="6"/>
      <c r="D457" s="33"/>
      <c r="E457" s="10"/>
    </row>
    <row r="458" spans="1:5" ht="15.75" x14ac:dyDescent="0.25">
      <c r="A458" s="62">
        <v>39965</v>
      </c>
      <c r="B458" s="12"/>
      <c r="C458" s="6"/>
      <c r="D458" s="33"/>
      <c r="E458" s="10"/>
    </row>
    <row r="459" spans="1:5" ht="15.75" x14ac:dyDescent="0.25">
      <c r="A459" s="62">
        <v>39995</v>
      </c>
      <c r="B459" s="12"/>
      <c r="C459" s="6"/>
      <c r="D459" s="33"/>
      <c r="E459" s="10"/>
    </row>
    <row r="460" spans="1:5" ht="15.75" x14ac:dyDescent="0.25">
      <c r="A460" s="62">
        <v>40026</v>
      </c>
      <c r="B460" s="12"/>
      <c r="C460" s="6"/>
      <c r="D460" s="33"/>
      <c r="E460" s="10"/>
    </row>
    <row r="461" spans="1:5" ht="15.75" x14ac:dyDescent="0.25">
      <c r="A461" s="62">
        <v>40057</v>
      </c>
      <c r="B461" s="12"/>
      <c r="C461" s="6"/>
      <c r="D461" s="33"/>
      <c r="E461" s="10"/>
    </row>
    <row r="462" spans="1:5" ht="15.75" x14ac:dyDescent="0.25">
      <c r="A462" s="62">
        <v>40087</v>
      </c>
      <c r="B462" s="12"/>
      <c r="C462" s="6"/>
      <c r="D462" s="33"/>
      <c r="E462" s="10"/>
    </row>
    <row r="463" spans="1:5" ht="15.75" x14ac:dyDescent="0.25">
      <c r="A463" s="62">
        <v>40118</v>
      </c>
      <c r="B463" s="12"/>
      <c r="C463" s="6"/>
      <c r="D463" s="33"/>
      <c r="E463" s="10"/>
    </row>
    <row r="464" spans="1:5" ht="15.75" x14ac:dyDescent="0.25">
      <c r="A464" s="62">
        <v>40148</v>
      </c>
      <c r="B464" s="12"/>
      <c r="C464" s="6"/>
      <c r="D464" s="32"/>
      <c r="E464" s="10"/>
    </row>
    <row r="465" spans="1:5" ht="15.75" x14ac:dyDescent="0.25">
      <c r="A465" s="62">
        <v>40179</v>
      </c>
      <c r="B465" s="12"/>
      <c r="C465" s="6"/>
      <c r="D465" s="32"/>
      <c r="E465" s="10"/>
    </row>
    <row r="466" spans="1:5" ht="15.75" x14ac:dyDescent="0.25">
      <c r="A466" s="62">
        <v>40210</v>
      </c>
      <c r="B466" s="12"/>
      <c r="C466" s="6"/>
      <c r="D466" s="7"/>
      <c r="E466" s="10"/>
    </row>
    <row r="467" spans="1:5" ht="15.75" x14ac:dyDescent="0.25">
      <c r="A467" s="62">
        <v>40238</v>
      </c>
      <c r="B467" s="12"/>
      <c r="C467" s="6"/>
      <c r="D467" s="32"/>
      <c r="E467" s="10"/>
    </row>
    <row r="468" spans="1:5" ht="15.75" x14ac:dyDescent="0.25">
      <c r="A468" s="62">
        <v>40269</v>
      </c>
      <c r="B468" s="12"/>
      <c r="C468" s="6"/>
      <c r="D468" s="32"/>
      <c r="E468" s="10"/>
    </row>
    <row r="469" spans="1:5" ht="15.75" x14ac:dyDescent="0.25">
      <c r="A469" s="62">
        <v>40299</v>
      </c>
      <c r="B469" s="12"/>
      <c r="C469" s="6"/>
      <c r="D469" s="7"/>
      <c r="E469" s="10"/>
    </row>
    <row r="470" spans="1:5" ht="15.75" x14ac:dyDescent="0.25">
      <c r="A470" s="62">
        <v>40330</v>
      </c>
      <c r="B470" s="12"/>
      <c r="C470" s="6"/>
      <c r="D470" s="32"/>
      <c r="E470" s="10"/>
    </row>
    <row r="471" spans="1:5" ht="15.75" x14ac:dyDescent="0.25">
      <c r="A471" s="62">
        <v>40360</v>
      </c>
      <c r="B471" s="12"/>
      <c r="C471" s="6"/>
      <c r="D471" s="32"/>
      <c r="E471" s="10"/>
    </row>
    <row r="472" spans="1:5" ht="15.75" x14ac:dyDescent="0.25">
      <c r="A472" s="62">
        <v>40391</v>
      </c>
      <c r="B472" s="12"/>
      <c r="C472" s="6"/>
      <c r="D472" s="7"/>
      <c r="E472" s="10"/>
    </row>
    <row r="473" spans="1:5" ht="15.75" x14ac:dyDescent="0.25">
      <c r="A473" s="62">
        <v>40422</v>
      </c>
      <c r="B473" s="12"/>
      <c r="C473" s="6"/>
      <c r="D473" s="32"/>
      <c r="E473" s="10"/>
    </row>
    <row r="474" spans="1:5" ht="15.75" x14ac:dyDescent="0.25">
      <c r="A474" s="62">
        <v>40452</v>
      </c>
      <c r="B474" s="12"/>
      <c r="C474" s="6"/>
      <c r="D474" s="32"/>
      <c r="E474" s="10"/>
    </row>
    <row r="475" spans="1:5" ht="15.75" x14ac:dyDescent="0.25">
      <c r="A475" s="62">
        <v>40483</v>
      </c>
      <c r="B475" s="12"/>
      <c r="C475" s="6"/>
      <c r="D475" s="7"/>
      <c r="E475" s="10"/>
    </row>
    <row r="476" spans="1:5" ht="15.75" x14ac:dyDescent="0.25">
      <c r="A476" s="62">
        <v>40513</v>
      </c>
      <c r="B476" s="12"/>
      <c r="C476" s="6"/>
      <c r="D476" s="32"/>
      <c r="E476" s="10"/>
    </row>
    <row r="477" spans="1:5" ht="15.75" x14ac:dyDescent="0.25">
      <c r="A477" s="62">
        <v>40544</v>
      </c>
      <c r="B477" s="8"/>
      <c r="C477" s="63"/>
      <c r="D477" s="32"/>
      <c r="E477" s="63"/>
    </row>
    <row r="478" spans="1:5" ht="15.75" x14ac:dyDescent="0.25">
      <c r="A478" s="62">
        <v>40575</v>
      </c>
      <c r="B478" s="12"/>
      <c r="C478" s="63"/>
      <c r="D478" s="10"/>
      <c r="E478" s="63"/>
    </row>
    <row r="479" spans="1:5" ht="15.75" x14ac:dyDescent="0.25">
      <c r="A479" s="62">
        <v>40603</v>
      </c>
      <c r="B479" s="8"/>
      <c r="C479" s="63"/>
      <c r="D479" s="32"/>
      <c r="E479" s="63"/>
    </row>
    <row r="480" spans="1:5" ht="15.75" x14ac:dyDescent="0.25">
      <c r="A480" s="62">
        <v>40634</v>
      </c>
      <c r="B480" s="8"/>
      <c r="C480" s="63"/>
      <c r="D480" s="32"/>
      <c r="E480" s="63"/>
    </row>
    <row r="481" spans="1:5" ht="15.75" x14ac:dyDescent="0.25">
      <c r="A481" s="62">
        <v>40664</v>
      </c>
      <c r="B481" s="12"/>
      <c r="C481" s="63"/>
      <c r="D481" s="10"/>
      <c r="E481" s="63"/>
    </row>
    <row r="482" spans="1:5" ht="15.75" x14ac:dyDescent="0.25">
      <c r="A482" s="62">
        <v>40695</v>
      </c>
      <c r="B482" s="8"/>
      <c r="C482" s="63"/>
      <c r="D482" s="32"/>
      <c r="E482" s="63"/>
    </row>
    <row r="483" spans="1:5" ht="15.75" x14ac:dyDescent="0.25">
      <c r="A483" s="62">
        <v>40725</v>
      </c>
      <c r="B483" s="8"/>
      <c r="C483" s="63"/>
      <c r="D483" s="32"/>
      <c r="E483" s="63"/>
    </row>
    <row r="484" spans="1:5" ht="15.75" x14ac:dyDescent="0.25">
      <c r="A484" s="62">
        <v>40756</v>
      </c>
      <c r="B484" s="125">
        <v>4444</v>
      </c>
      <c r="C484" s="63"/>
      <c r="D484" s="93">
        <v>770.3</v>
      </c>
      <c r="E484" s="63"/>
    </row>
    <row r="485" spans="1:5" ht="15.75" x14ac:dyDescent="0.25">
      <c r="A485" s="62">
        <v>40787</v>
      </c>
      <c r="B485" s="8"/>
      <c r="C485" s="63"/>
      <c r="D485" s="32"/>
      <c r="E485" s="63"/>
    </row>
    <row r="486" spans="1:5" ht="15.75" x14ac:dyDescent="0.25">
      <c r="A486" s="62">
        <v>40817</v>
      </c>
      <c r="B486" s="8"/>
      <c r="C486" s="63"/>
      <c r="D486" s="32"/>
      <c r="E486" s="63"/>
    </row>
    <row r="487" spans="1:5" ht="15.75" x14ac:dyDescent="0.25">
      <c r="A487" s="62">
        <v>40848</v>
      </c>
      <c r="B487" s="12"/>
      <c r="C487" s="63"/>
      <c r="D487" s="10"/>
      <c r="E487" s="63"/>
    </row>
    <row r="488" spans="1:5" ht="15.75" x14ac:dyDescent="0.25">
      <c r="A488" s="62">
        <v>40878</v>
      </c>
      <c r="B488" s="8"/>
      <c r="C488" s="63"/>
      <c r="D488" s="7"/>
      <c r="E488" s="63"/>
    </row>
    <row r="489" spans="1:5" ht="15.75" x14ac:dyDescent="0.25">
      <c r="A489" s="62">
        <v>40909</v>
      </c>
      <c r="B489" s="8"/>
      <c r="C489" s="63"/>
      <c r="D489" s="7"/>
      <c r="E489" s="63"/>
    </row>
    <row r="490" spans="1:5" ht="15.75" x14ac:dyDescent="0.25">
      <c r="A490" s="62">
        <v>40940</v>
      </c>
      <c r="B490" s="8"/>
      <c r="C490" s="63"/>
      <c r="D490" s="10"/>
      <c r="E490" s="63"/>
    </row>
    <row r="491" spans="1:5" ht="15.75" x14ac:dyDescent="0.25">
      <c r="A491" s="62">
        <v>40969</v>
      </c>
      <c r="B491" s="8"/>
      <c r="C491" s="63"/>
      <c r="D491" s="7"/>
      <c r="E491" s="63"/>
    </row>
    <row r="492" spans="1:5" ht="15.75" x14ac:dyDescent="0.25">
      <c r="A492" s="62">
        <v>41000</v>
      </c>
      <c r="B492" s="8"/>
      <c r="C492" s="63"/>
      <c r="D492" s="7"/>
      <c r="E492" s="63"/>
    </row>
    <row r="493" spans="1:5" ht="15.75" x14ac:dyDescent="0.25">
      <c r="A493" s="62">
        <v>41030</v>
      </c>
      <c r="B493" s="8"/>
      <c r="C493" s="63"/>
      <c r="D493" s="10"/>
      <c r="E493" s="63"/>
    </row>
    <row r="494" spans="1:5" ht="15.75" x14ac:dyDescent="0.25">
      <c r="A494" s="62">
        <v>41061</v>
      </c>
      <c r="B494" s="8"/>
      <c r="C494" s="63"/>
      <c r="D494" s="7"/>
      <c r="E494" s="63"/>
    </row>
    <row r="495" spans="1:5" ht="15.75" x14ac:dyDescent="0.25">
      <c r="A495" s="62">
        <v>41091</v>
      </c>
      <c r="B495" s="8"/>
      <c r="C495" s="63"/>
      <c r="D495" s="7"/>
      <c r="E495" s="63"/>
    </row>
    <row r="496" spans="1:5" ht="15.75" x14ac:dyDescent="0.25">
      <c r="A496" s="62">
        <v>41122</v>
      </c>
      <c r="B496" s="8"/>
      <c r="C496" s="63"/>
      <c r="D496" s="7"/>
      <c r="E496" s="63"/>
    </row>
    <row r="497" spans="1:5" ht="15.75" x14ac:dyDescent="0.25">
      <c r="A497" s="62">
        <v>41153</v>
      </c>
      <c r="B497" s="8"/>
      <c r="C497" s="63"/>
      <c r="D497" s="7"/>
      <c r="E497" s="63"/>
    </row>
    <row r="498" spans="1:5" ht="15.75" x14ac:dyDescent="0.25">
      <c r="A498" s="62">
        <v>41183</v>
      </c>
      <c r="B498" s="8"/>
      <c r="C498" s="63"/>
      <c r="D498" s="7"/>
      <c r="E498" s="63"/>
    </row>
    <row r="499" spans="1:5" ht="15.75" x14ac:dyDescent="0.25">
      <c r="A499" s="62">
        <v>41214</v>
      </c>
      <c r="B499" s="8"/>
      <c r="C499" s="63"/>
      <c r="D499" s="7"/>
      <c r="E499" s="63"/>
    </row>
    <row r="500" spans="1:5" ht="15.75" x14ac:dyDescent="0.25">
      <c r="A500" s="62">
        <v>41244</v>
      </c>
      <c r="B500" s="8"/>
      <c r="C500" s="63"/>
      <c r="D500" s="7"/>
      <c r="E500" s="63"/>
    </row>
    <row r="501" spans="1:5" ht="15.75" x14ac:dyDescent="0.25">
      <c r="A501" s="62">
        <v>41275</v>
      </c>
      <c r="B501" s="8"/>
      <c r="C501" s="63"/>
      <c r="D501" s="7"/>
      <c r="E501" s="63"/>
    </row>
    <row r="502" spans="1:5" ht="15.75" x14ac:dyDescent="0.25">
      <c r="A502" s="62">
        <v>41306</v>
      </c>
      <c r="B502" s="8"/>
      <c r="C502" s="63"/>
      <c r="D502" s="7"/>
      <c r="E502" s="63"/>
    </row>
    <row r="503" spans="1:5" ht="15.75" x14ac:dyDescent="0.25">
      <c r="A503" s="62">
        <v>41334</v>
      </c>
      <c r="B503" s="8"/>
      <c r="C503" s="63"/>
      <c r="D503" s="7"/>
      <c r="E503" s="63"/>
    </row>
    <row r="504" spans="1:5" ht="15.75" x14ac:dyDescent="0.25">
      <c r="A504" s="62">
        <v>41365</v>
      </c>
      <c r="B504" s="8"/>
      <c r="C504" s="63"/>
      <c r="D504" s="7"/>
      <c r="E504" s="63"/>
    </row>
    <row r="505" spans="1:5" ht="15.75" x14ac:dyDescent="0.25">
      <c r="A505" s="62">
        <v>41395</v>
      </c>
      <c r="B505" s="8"/>
      <c r="C505" s="63"/>
      <c r="D505" s="7"/>
      <c r="E505" s="63"/>
    </row>
    <row r="506" spans="1:5" ht="15.75" x14ac:dyDescent="0.25">
      <c r="A506" s="62">
        <v>41426</v>
      </c>
      <c r="B506" s="8"/>
      <c r="C506" s="63"/>
      <c r="D506" s="7"/>
      <c r="E506" s="63"/>
    </row>
    <row r="507" spans="1:5" ht="15.75" x14ac:dyDescent="0.25">
      <c r="A507" s="62">
        <v>41456</v>
      </c>
      <c r="B507" s="8"/>
      <c r="C507" s="63"/>
      <c r="D507" s="7"/>
      <c r="E507" s="63"/>
    </row>
    <row r="508" spans="1:5" ht="15.75" x14ac:dyDescent="0.25">
      <c r="A508" s="62">
        <v>41487</v>
      </c>
      <c r="B508" s="8"/>
      <c r="C508" s="63"/>
      <c r="D508" s="7"/>
      <c r="E508" s="63"/>
    </row>
    <row r="509" spans="1:5" ht="15.75" x14ac:dyDescent="0.25">
      <c r="A509" s="62">
        <v>41518</v>
      </c>
      <c r="B509" s="8"/>
      <c r="C509" s="63"/>
      <c r="D509" s="7"/>
      <c r="E509" s="63"/>
    </row>
    <row r="510" spans="1:5" ht="15.75" x14ac:dyDescent="0.25">
      <c r="A510" s="62">
        <v>41548</v>
      </c>
      <c r="B510" s="8"/>
      <c r="C510" s="63"/>
      <c r="D510" s="7"/>
      <c r="E510" s="63"/>
    </row>
    <row r="511" spans="1:5" ht="15.75" x14ac:dyDescent="0.25">
      <c r="A511" s="62">
        <v>41579</v>
      </c>
      <c r="B511" s="8"/>
      <c r="C511" s="63"/>
      <c r="D511" s="7"/>
      <c r="E511" s="63"/>
    </row>
    <row r="512" spans="1:5" ht="15.75" x14ac:dyDescent="0.25">
      <c r="A512" s="62">
        <v>41609</v>
      </c>
      <c r="B512" s="8"/>
      <c r="C512" s="63"/>
      <c r="D512" s="7"/>
      <c r="E512" s="63"/>
    </row>
    <row r="513" spans="1:5" ht="15.75" x14ac:dyDescent="0.25">
      <c r="A513" s="62">
        <v>41640</v>
      </c>
      <c r="B513" s="8"/>
      <c r="C513" s="6"/>
      <c r="D513" s="7"/>
      <c r="E513" s="10"/>
    </row>
    <row r="514" spans="1:5" ht="15.75" x14ac:dyDescent="0.25">
      <c r="A514" s="62">
        <v>41671</v>
      </c>
      <c r="B514" s="8"/>
      <c r="C514" s="6"/>
      <c r="D514" s="7"/>
      <c r="E514" s="10"/>
    </row>
    <row r="515" spans="1:5" ht="15.75" x14ac:dyDescent="0.25">
      <c r="A515" s="62">
        <v>41699</v>
      </c>
      <c r="B515" s="8"/>
      <c r="C515" s="6"/>
      <c r="D515" s="7"/>
      <c r="E515" s="10"/>
    </row>
    <row r="516" spans="1:5" ht="15.75" x14ac:dyDescent="0.25">
      <c r="A516" s="62">
        <v>41730</v>
      </c>
      <c r="B516" s="8"/>
      <c r="C516" s="6"/>
      <c r="D516" s="7"/>
      <c r="E516" s="10"/>
    </row>
    <row r="517" spans="1:5" ht="15.75" x14ac:dyDescent="0.25">
      <c r="A517" s="62">
        <v>41760</v>
      </c>
      <c r="B517" s="8"/>
      <c r="C517" s="6"/>
      <c r="D517" s="7"/>
      <c r="E517" s="10"/>
    </row>
    <row r="518" spans="1:5" ht="15.75" x14ac:dyDescent="0.25">
      <c r="A518" s="62">
        <v>41791</v>
      </c>
      <c r="B518" s="8"/>
      <c r="C518" s="6"/>
      <c r="D518" s="7"/>
      <c r="E518" s="10"/>
    </row>
    <row r="519" spans="1:5" ht="15.75" x14ac:dyDescent="0.25">
      <c r="A519" s="62">
        <v>41821</v>
      </c>
      <c r="B519" s="8"/>
      <c r="C519" s="6"/>
      <c r="D519" s="7"/>
      <c r="E519" s="10"/>
    </row>
    <row r="520" spans="1:5" ht="15.75" x14ac:dyDescent="0.25">
      <c r="A520" s="62">
        <v>41852</v>
      </c>
      <c r="B520" s="8"/>
      <c r="C520" s="6"/>
      <c r="D520" s="7"/>
      <c r="E520" s="10"/>
    </row>
    <row r="521" spans="1:5" ht="15.75" x14ac:dyDescent="0.25">
      <c r="A521" s="62">
        <v>41883</v>
      </c>
      <c r="B521" s="8"/>
      <c r="C521" s="6"/>
      <c r="D521" s="7"/>
      <c r="E521" s="10"/>
    </row>
    <row r="522" spans="1:5" ht="15.75" x14ac:dyDescent="0.25">
      <c r="A522" s="62">
        <v>41913</v>
      </c>
      <c r="B522" s="8"/>
      <c r="C522" s="6"/>
      <c r="D522" s="7"/>
      <c r="E522" s="10"/>
    </row>
    <row r="523" spans="1:5" ht="15.75" x14ac:dyDescent="0.25">
      <c r="A523" s="62">
        <v>41944</v>
      </c>
      <c r="B523" s="8"/>
      <c r="C523" s="6"/>
      <c r="D523" s="7"/>
      <c r="E523" s="10"/>
    </row>
    <row r="524" spans="1:5" ht="15.75" x14ac:dyDescent="0.25">
      <c r="A524" s="62">
        <v>41974</v>
      </c>
      <c r="B524" s="8"/>
      <c r="C524" s="6"/>
      <c r="D524" s="7"/>
      <c r="E524" s="10"/>
    </row>
    <row r="525" spans="1:5" ht="15.75" x14ac:dyDescent="0.25">
      <c r="A525" s="62">
        <v>42005</v>
      </c>
      <c r="B525" s="8"/>
      <c r="C525" s="6"/>
      <c r="D525" s="7"/>
      <c r="E525" s="10"/>
    </row>
    <row r="526" spans="1:5" ht="15.75" x14ac:dyDescent="0.25">
      <c r="A526" s="62">
        <v>42036</v>
      </c>
      <c r="B526" s="8"/>
      <c r="C526" s="6"/>
      <c r="D526" s="7"/>
      <c r="E526" s="10"/>
    </row>
    <row r="527" spans="1:5" ht="15.75" x14ac:dyDescent="0.25">
      <c r="A527" s="62">
        <v>42064</v>
      </c>
      <c r="B527" s="8"/>
      <c r="C527" s="6"/>
      <c r="D527" s="7"/>
      <c r="E527" s="10"/>
    </row>
    <row r="528" spans="1:5" ht="15.75" x14ac:dyDescent="0.25">
      <c r="A528" s="62">
        <v>42095</v>
      </c>
      <c r="B528" s="8"/>
      <c r="C528" s="6"/>
      <c r="D528" s="7"/>
      <c r="E528" s="10"/>
    </row>
    <row r="529" spans="1:5" ht="15.75" x14ac:dyDescent="0.25">
      <c r="A529" s="62">
        <v>42125</v>
      </c>
      <c r="B529" s="8"/>
      <c r="C529" s="6"/>
      <c r="D529" s="7"/>
      <c r="E529" s="10"/>
    </row>
    <row r="530" spans="1:5" ht="15.75" x14ac:dyDescent="0.25">
      <c r="A530" s="62">
        <v>42156</v>
      </c>
      <c r="B530" s="8"/>
      <c r="C530" s="6"/>
      <c r="D530" s="7"/>
      <c r="E530" s="10"/>
    </row>
    <row r="531" spans="1:5" ht="15.75" x14ac:dyDescent="0.25">
      <c r="A531" s="62">
        <v>42186</v>
      </c>
      <c r="B531" s="8"/>
      <c r="C531" s="6"/>
      <c r="D531" s="7"/>
      <c r="E531" s="10"/>
    </row>
    <row r="532" spans="1:5" ht="15.75" x14ac:dyDescent="0.25">
      <c r="A532" s="62">
        <v>42217</v>
      </c>
      <c r="B532" s="8"/>
      <c r="C532" s="6"/>
      <c r="D532" s="7"/>
      <c r="E532" s="10"/>
    </row>
    <row r="533" spans="1:5" ht="15.75" x14ac:dyDescent="0.25">
      <c r="A533" s="62">
        <v>42248</v>
      </c>
      <c r="B533" s="8"/>
      <c r="C533" s="6"/>
      <c r="D533" s="7"/>
      <c r="E533" s="10"/>
    </row>
    <row r="534" spans="1:5" ht="15.75" x14ac:dyDescent="0.25">
      <c r="A534" s="62">
        <v>42278</v>
      </c>
      <c r="B534" s="8"/>
      <c r="C534" s="6"/>
      <c r="D534" s="7"/>
      <c r="E534" s="10"/>
    </row>
    <row r="535" spans="1:5" ht="15.75" x14ac:dyDescent="0.25">
      <c r="A535" s="62">
        <v>42309</v>
      </c>
      <c r="B535" s="8"/>
      <c r="C535" s="6"/>
      <c r="D535" s="7"/>
      <c r="E535" s="10"/>
    </row>
    <row r="536" spans="1:5" ht="15.75" x14ac:dyDescent="0.25">
      <c r="A536" s="62">
        <v>42339</v>
      </c>
      <c r="B536" s="8"/>
      <c r="C536" s="6"/>
      <c r="D536" s="7"/>
      <c r="E536" s="10"/>
    </row>
    <row r="537" spans="1:5" ht="15.75" x14ac:dyDescent="0.25">
      <c r="A537" s="62">
        <v>42370</v>
      </c>
      <c r="B537" s="12"/>
      <c r="C537" s="6"/>
      <c r="D537" s="7"/>
      <c r="E537" s="10"/>
    </row>
    <row r="538" spans="1:5" ht="15.75" x14ac:dyDescent="0.25">
      <c r="A538" s="62">
        <v>42401</v>
      </c>
      <c r="B538" s="12"/>
      <c r="C538" s="6"/>
      <c r="D538" s="7"/>
      <c r="E538" s="10"/>
    </row>
    <row r="539" spans="1:5" ht="15.75" x14ac:dyDescent="0.25">
      <c r="A539" s="62">
        <v>42430</v>
      </c>
      <c r="B539" s="12"/>
      <c r="C539" s="6"/>
      <c r="D539" s="7"/>
      <c r="E539" s="10"/>
    </row>
    <row r="540" spans="1:5" ht="15.75" x14ac:dyDescent="0.25">
      <c r="A540" s="62">
        <v>42461</v>
      </c>
      <c r="B540" s="12"/>
      <c r="C540" s="6"/>
      <c r="D540" s="7"/>
      <c r="E540" s="10"/>
    </row>
    <row r="541" spans="1:5" ht="15.75" x14ac:dyDescent="0.25">
      <c r="A541" s="62">
        <v>42491</v>
      </c>
      <c r="B541" s="12"/>
      <c r="C541" s="6"/>
      <c r="D541" s="7"/>
      <c r="E541" s="10"/>
    </row>
    <row r="542" spans="1:5" ht="15.75" x14ac:dyDescent="0.25">
      <c r="A542" s="62">
        <v>42522</v>
      </c>
      <c r="B542" s="12"/>
      <c r="C542" s="8"/>
      <c r="D542" s="7"/>
      <c r="E542" s="10"/>
    </row>
    <row r="543" spans="1:5" ht="15.75" x14ac:dyDescent="0.25">
      <c r="A543" s="62">
        <v>42552</v>
      </c>
      <c r="B543" s="8"/>
      <c r="C543" s="8"/>
      <c r="D543" s="7"/>
      <c r="E543" s="10"/>
    </row>
    <row r="544" spans="1:5" ht="15.75" x14ac:dyDescent="0.25">
      <c r="A544" s="62">
        <v>42583</v>
      </c>
      <c r="B544" s="8"/>
      <c r="C544" s="6"/>
      <c r="D544" s="7"/>
      <c r="E544" s="10"/>
    </row>
    <row r="545" spans="1:5" ht="15.75" x14ac:dyDescent="0.25">
      <c r="A545" s="62">
        <v>42614</v>
      </c>
      <c r="B545" s="12"/>
      <c r="C545" s="6"/>
      <c r="D545" s="7"/>
      <c r="E545" s="10"/>
    </row>
    <row r="546" spans="1:5" ht="15.75" x14ac:dyDescent="0.25">
      <c r="A546" s="62">
        <v>42644</v>
      </c>
      <c r="B546" s="12"/>
      <c r="C546" s="6"/>
      <c r="D546" s="7"/>
      <c r="E546" s="10"/>
    </row>
    <row r="547" spans="1:5" ht="15.75" x14ac:dyDescent="0.25">
      <c r="A547" s="62">
        <v>42675</v>
      </c>
      <c r="B547" s="12"/>
      <c r="C547" s="6"/>
      <c r="D547" s="7"/>
      <c r="E547" s="10"/>
    </row>
    <row r="548" spans="1:5" ht="15.75" x14ac:dyDescent="0.25">
      <c r="A548" s="62">
        <v>42705</v>
      </c>
      <c r="B548" s="12"/>
      <c r="C548" s="6"/>
      <c r="D548" s="7"/>
      <c r="E548" s="10"/>
    </row>
    <row r="549" spans="1:5" ht="15.75" x14ac:dyDescent="0.25">
      <c r="A549" s="62">
        <v>42736</v>
      </c>
      <c r="B549" s="12"/>
      <c r="C549" s="6"/>
      <c r="D549" s="7"/>
      <c r="E549" s="10"/>
    </row>
    <row r="550" spans="1:5" ht="15.75" x14ac:dyDescent="0.25">
      <c r="A550" s="62">
        <v>42767</v>
      </c>
      <c r="B550" s="12"/>
      <c r="C550" s="16"/>
      <c r="D550" s="7"/>
      <c r="E550" s="16"/>
    </row>
    <row r="551" spans="1:5" ht="15.75" x14ac:dyDescent="0.25">
      <c r="A551" s="62">
        <v>42795</v>
      </c>
      <c r="B551" s="12"/>
      <c r="C551" s="16"/>
      <c r="D551" s="7"/>
      <c r="E551" s="16"/>
    </row>
    <row r="552" spans="1:5" ht="15.75" x14ac:dyDescent="0.25">
      <c r="A552" s="62">
        <v>42826</v>
      </c>
      <c r="B552" s="12"/>
      <c r="C552" s="16"/>
      <c r="D552" s="7"/>
      <c r="E552" s="16"/>
    </row>
    <row r="553" spans="1:5" ht="15.75" x14ac:dyDescent="0.25">
      <c r="A553" s="62">
        <v>42856</v>
      </c>
      <c r="B553" s="12"/>
      <c r="C553" s="16"/>
      <c r="D553" s="7"/>
      <c r="E553" s="16"/>
    </row>
    <row r="554" spans="1:5" ht="15.75" x14ac:dyDescent="0.25">
      <c r="A554" s="62">
        <v>42887</v>
      </c>
      <c r="B554" s="12"/>
      <c r="C554" s="16"/>
      <c r="D554" s="7"/>
      <c r="E554" s="16"/>
    </row>
    <row r="555" spans="1:5" ht="15.75" x14ac:dyDescent="0.25">
      <c r="A555" s="62">
        <v>42917</v>
      </c>
      <c r="B555" s="12"/>
      <c r="C555" s="16"/>
      <c r="D555" s="7"/>
      <c r="E555" s="16"/>
    </row>
    <row r="556" spans="1:5" ht="15.75" x14ac:dyDescent="0.25">
      <c r="A556" s="62">
        <v>42948</v>
      </c>
      <c r="B556" s="12"/>
      <c r="C556" s="16"/>
      <c r="D556" s="7"/>
      <c r="E556" s="16"/>
    </row>
    <row r="557" spans="1:5" ht="15.75" x14ac:dyDescent="0.25">
      <c r="A557" s="62">
        <v>42979</v>
      </c>
      <c r="B557" s="12"/>
      <c r="C557" s="18"/>
      <c r="D557" s="7"/>
      <c r="E557" s="18"/>
    </row>
    <row r="558" spans="1:5" ht="15.75" x14ac:dyDescent="0.25">
      <c r="A558" s="62">
        <v>43009</v>
      </c>
      <c r="B558" s="12"/>
      <c r="C558" s="18"/>
      <c r="D558" s="7"/>
      <c r="E558" s="18"/>
    </row>
    <row r="559" spans="1:5" ht="15.75" x14ac:dyDescent="0.25">
      <c r="A559" s="62">
        <v>43040</v>
      </c>
      <c r="B559" s="12"/>
      <c r="C559" s="18"/>
      <c r="D559" s="7"/>
      <c r="E559" s="18"/>
    </row>
    <row r="560" spans="1:5" ht="15.75" x14ac:dyDescent="0.25">
      <c r="A560" s="62">
        <v>43070</v>
      </c>
      <c r="B560" s="12"/>
      <c r="C560" s="18"/>
      <c r="D560" s="7"/>
      <c r="E560" s="18"/>
    </row>
    <row r="561" spans="1:5" ht="15.75" x14ac:dyDescent="0.25">
      <c r="A561" s="62">
        <v>43101</v>
      </c>
      <c r="B561" s="12"/>
      <c r="C561" s="16"/>
      <c r="D561" s="7"/>
      <c r="E561" s="16"/>
    </row>
    <row r="562" spans="1:5" ht="15.75" x14ac:dyDescent="0.25">
      <c r="A562" s="62">
        <v>43132</v>
      </c>
      <c r="B562" s="12"/>
      <c r="C562" s="16"/>
      <c r="D562" s="7"/>
      <c r="E562" s="16"/>
    </row>
    <row r="563" spans="1:5" ht="15.75" x14ac:dyDescent="0.25">
      <c r="A563" s="62">
        <v>43160</v>
      </c>
      <c r="B563" s="12"/>
      <c r="C563" s="16"/>
      <c r="D563" s="7"/>
      <c r="E563" s="16"/>
    </row>
    <row r="564" spans="1:5" ht="15.75" x14ac:dyDescent="0.25">
      <c r="A564" s="62">
        <v>43191</v>
      </c>
      <c r="B564" s="12"/>
      <c r="C564" s="16"/>
      <c r="D564" s="7"/>
      <c r="E564" s="16"/>
    </row>
    <row r="565" spans="1:5" ht="15.75" x14ac:dyDescent="0.25">
      <c r="A565" s="62">
        <v>43221</v>
      </c>
      <c r="B565" s="12"/>
      <c r="C565" s="16"/>
      <c r="D565" s="7"/>
      <c r="E565" s="16"/>
    </row>
    <row r="566" spans="1:5" ht="15.75" x14ac:dyDescent="0.25">
      <c r="A566" s="62">
        <v>43252</v>
      </c>
      <c r="B566" s="12"/>
      <c r="C566" s="16"/>
      <c r="D566" s="7"/>
      <c r="E566" s="16"/>
    </row>
    <row r="567" spans="1:5" ht="15.75" x14ac:dyDescent="0.25">
      <c r="A567" s="62">
        <v>43282</v>
      </c>
      <c r="B567" s="12"/>
      <c r="C567" s="16"/>
      <c r="D567" s="7"/>
      <c r="E567" s="16"/>
    </row>
    <row r="568" spans="1:5" ht="15.75" x14ac:dyDescent="0.25">
      <c r="A568" s="62">
        <v>43313</v>
      </c>
      <c r="B568" s="12"/>
      <c r="C568" s="16"/>
      <c r="D568" s="7"/>
      <c r="E568" s="16"/>
    </row>
    <row r="569" spans="1:5" ht="15.75" x14ac:dyDescent="0.25">
      <c r="A569" s="62">
        <v>43344</v>
      </c>
      <c r="B569" s="12"/>
      <c r="C569" s="16"/>
      <c r="D569" s="7"/>
      <c r="E569" s="16"/>
    </row>
    <row r="570" spans="1:5" ht="15.75" x14ac:dyDescent="0.25">
      <c r="A570" s="62">
        <v>43374</v>
      </c>
      <c r="B570" s="12"/>
      <c r="C570" s="16"/>
      <c r="D570" s="7"/>
      <c r="E570" s="16"/>
    </row>
    <row r="571" spans="1:5" ht="15.75" x14ac:dyDescent="0.25">
      <c r="A571" s="62">
        <v>43405</v>
      </c>
      <c r="B571" s="12"/>
      <c r="C571" s="16"/>
      <c r="D571" s="7"/>
      <c r="E571" s="16"/>
    </row>
    <row r="572" spans="1:5" ht="15.75" x14ac:dyDescent="0.25">
      <c r="A572" s="62">
        <v>43435</v>
      </c>
      <c r="B572" s="12"/>
      <c r="C572" s="16"/>
      <c r="D572" s="7"/>
      <c r="E572" s="16"/>
    </row>
    <row r="573" spans="1:5" ht="15.75" x14ac:dyDescent="0.25">
      <c r="A573" s="62">
        <v>43466</v>
      </c>
      <c r="B573" s="12"/>
      <c r="C573" s="6"/>
      <c r="D573" s="7"/>
      <c r="E573" s="10"/>
    </row>
    <row r="574" spans="1:5" ht="15.75" x14ac:dyDescent="0.25">
      <c r="A574" s="62">
        <v>43497</v>
      </c>
      <c r="B574" s="12"/>
      <c r="C574" s="6"/>
      <c r="D574" s="7"/>
      <c r="E574" s="10"/>
    </row>
    <row r="575" spans="1:5" ht="15.75" x14ac:dyDescent="0.25">
      <c r="A575" s="62">
        <v>43525</v>
      </c>
      <c r="B575" s="12"/>
      <c r="C575" s="6"/>
      <c r="D575" s="7"/>
      <c r="E575" s="10"/>
    </row>
    <row r="576" spans="1:5" ht="15.75" x14ac:dyDescent="0.25">
      <c r="A576" s="62">
        <v>43556</v>
      </c>
      <c r="B576" s="12"/>
      <c r="C576" s="6"/>
      <c r="D576" s="7"/>
      <c r="E576" s="10"/>
    </row>
    <row r="577" spans="1:5" ht="15.75" x14ac:dyDescent="0.25">
      <c r="A577" s="62">
        <v>43586</v>
      </c>
      <c r="B577" s="12"/>
      <c r="C577" s="6"/>
      <c r="D577" s="7"/>
      <c r="E577" s="10"/>
    </row>
    <row r="578" spans="1:5" ht="15.75" x14ac:dyDescent="0.25">
      <c r="A578" s="62">
        <v>43617</v>
      </c>
      <c r="B578" s="12"/>
      <c r="C578" s="6"/>
      <c r="D578" s="7"/>
      <c r="E578" s="10"/>
    </row>
    <row r="579" spans="1:5" ht="15.75" x14ac:dyDescent="0.25">
      <c r="A579" s="62">
        <v>43647</v>
      </c>
      <c r="B579" s="82"/>
      <c r="C579" s="16"/>
      <c r="D579" s="7"/>
      <c r="E579" s="10"/>
    </row>
    <row r="580" spans="1:5" ht="15.75" x14ac:dyDescent="0.25">
      <c r="A580" s="62">
        <v>43678</v>
      </c>
      <c r="B580" s="64"/>
      <c r="C580" s="16"/>
      <c r="D580" s="64"/>
      <c r="E580" s="10"/>
    </row>
    <row r="581" spans="1:5" ht="15.75" x14ac:dyDescent="0.25">
      <c r="A581" s="62">
        <v>43709</v>
      </c>
      <c r="B581" s="76"/>
      <c r="C581" s="16"/>
      <c r="D581" s="76"/>
      <c r="E581" s="16"/>
    </row>
    <row r="582" spans="1:5" ht="15.75" x14ac:dyDescent="0.25">
      <c r="A582" s="65">
        <v>43739</v>
      </c>
      <c r="B582" s="82"/>
      <c r="C582" s="16"/>
      <c r="D582" s="7"/>
      <c r="E582" s="16"/>
    </row>
    <row r="583" spans="1:5" x14ac:dyDescent="0.25">
      <c r="A583" s="65">
        <v>43770</v>
      </c>
      <c r="B583" s="66"/>
      <c r="C583" s="16"/>
      <c r="D583" s="66"/>
      <c r="E583" s="16"/>
    </row>
    <row r="584" spans="1:5" ht="15.75" x14ac:dyDescent="0.25">
      <c r="A584" s="65">
        <v>43800</v>
      </c>
      <c r="B584" s="82"/>
      <c r="C584" s="16"/>
      <c r="D584" s="7"/>
      <c r="E584" s="16"/>
    </row>
    <row r="585" spans="1:5" x14ac:dyDescent="0.25">
      <c r="A585" s="65">
        <v>43831</v>
      </c>
      <c r="B585" s="77"/>
      <c r="C585" s="16"/>
      <c r="D585" s="67"/>
      <c r="E585" s="16"/>
    </row>
    <row r="586" spans="1:5" x14ac:dyDescent="0.25">
      <c r="A586" s="65">
        <v>43862</v>
      </c>
      <c r="B586" s="68"/>
      <c r="C586" s="16"/>
      <c r="D586" s="68"/>
      <c r="E586" s="16"/>
    </row>
    <row r="587" spans="1:5" x14ac:dyDescent="0.25">
      <c r="A587" s="65">
        <v>43891</v>
      </c>
      <c r="B587" s="82"/>
      <c r="C587" s="16"/>
      <c r="D587" s="67"/>
      <c r="E587" s="16"/>
    </row>
    <row r="588" spans="1:5" x14ac:dyDescent="0.25">
      <c r="A588" s="65">
        <v>43922</v>
      </c>
      <c r="B588" s="70"/>
      <c r="C588" s="16"/>
      <c r="D588" s="70"/>
      <c r="E588" s="16"/>
    </row>
    <row r="589" spans="1:5" x14ac:dyDescent="0.25">
      <c r="A589" s="65">
        <v>43952</v>
      </c>
      <c r="B589" s="66"/>
      <c r="C589" s="16"/>
      <c r="D589" s="66"/>
      <c r="E589" s="16"/>
    </row>
    <row r="590" spans="1:5" x14ac:dyDescent="0.25">
      <c r="A590" s="65">
        <v>43983</v>
      </c>
      <c r="B590" s="70"/>
      <c r="C590" s="16"/>
      <c r="D590" s="70"/>
      <c r="E590" s="16"/>
    </row>
    <row r="591" spans="1:5" x14ac:dyDescent="0.25">
      <c r="A591" s="65">
        <v>44013</v>
      </c>
      <c r="B591" s="66"/>
      <c r="C591" s="16"/>
      <c r="D591" s="67"/>
      <c r="E591" s="16"/>
    </row>
    <row r="592" spans="1:5" x14ac:dyDescent="0.25">
      <c r="A592" s="65">
        <v>44044</v>
      </c>
      <c r="B592" s="66"/>
      <c r="C592" s="16"/>
      <c r="D592" s="67"/>
      <c r="E592" s="16"/>
    </row>
    <row r="593" spans="1:5" x14ac:dyDescent="0.25">
      <c r="A593" s="65">
        <v>44075</v>
      </c>
      <c r="B593" s="66"/>
      <c r="C593" s="16"/>
      <c r="D593" s="67"/>
      <c r="E593" s="16"/>
    </row>
    <row r="594" spans="1:5" x14ac:dyDescent="0.25">
      <c r="A594" s="65">
        <v>44105</v>
      </c>
      <c r="B594" s="66"/>
      <c r="C594" s="16"/>
      <c r="D594" s="67"/>
      <c r="E594" s="16"/>
    </row>
    <row r="595" spans="1:5" x14ac:dyDescent="0.25">
      <c r="A595" s="65">
        <v>44136</v>
      </c>
      <c r="B595" s="66"/>
      <c r="C595" s="16"/>
      <c r="D595" s="66"/>
      <c r="E595" s="16"/>
    </row>
    <row r="596" spans="1:5" x14ac:dyDescent="0.25">
      <c r="A596" s="65">
        <v>44166</v>
      </c>
      <c r="B596" s="66"/>
      <c r="C596" s="16"/>
      <c r="D596" s="67"/>
      <c r="E596" s="16"/>
    </row>
    <row r="597" spans="1:5" x14ac:dyDescent="0.25">
      <c r="A597" s="65">
        <v>44197</v>
      </c>
      <c r="B597" s="66"/>
      <c r="C597" s="16"/>
      <c r="D597" s="67"/>
      <c r="E597" s="16"/>
    </row>
    <row r="598" spans="1:5" x14ac:dyDescent="0.25">
      <c r="A598" s="65">
        <v>44228</v>
      </c>
      <c r="B598" s="66"/>
      <c r="C598" s="16"/>
      <c r="D598" s="66"/>
      <c r="E598" s="16"/>
    </row>
    <row r="599" spans="1:5" x14ac:dyDescent="0.25">
      <c r="A599" s="65">
        <v>44256</v>
      </c>
      <c r="B599" s="66"/>
      <c r="C599" s="16"/>
      <c r="D599" s="67"/>
      <c r="E599" s="16"/>
    </row>
    <row r="600" spans="1:5" x14ac:dyDescent="0.25">
      <c r="A600" s="65">
        <v>44287</v>
      </c>
      <c r="B600" s="66"/>
      <c r="C600" s="16"/>
      <c r="D600" s="67"/>
      <c r="E600" s="16"/>
    </row>
    <row r="601" spans="1:5" x14ac:dyDescent="0.25">
      <c r="A601" s="65">
        <v>44317</v>
      </c>
      <c r="B601" s="66"/>
      <c r="C601" s="16"/>
      <c r="D601" s="66"/>
      <c r="E601" s="16"/>
    </row>
    <row r="602" spans="1:5" x14ac:dyDescent="0.25">
      <c r="A602" s="65">
        <v>44348</v>
      </c>
      <c r="B602" s="82"/>
      <c r="C602" s="16"/>
      <c r="D602" s="67"/>
      <c r="E602" s="16"/>
    </row>
    <row r="603" spans="1:5" x14ac:dyDescent="0.25">
      <c r="A603" s="65">
        <v>44378</v>
      </c>
      <c r="B603" s="66"/>
      <c r="C603" s="16"/>
      <c r="D603" s="66"/>
      <c r="E603" s="16"/>
    </row>
    <row r="604" spans="1:5" x14ac:dyDescent="0.25">
      <c r="A604" s="65">
        <v>44409</v>
      </c>
      <c r="B604" s="66"/>
      <c r="C604" s="16"/>
      <c r="D604" s="66"/>
      <c r="E604" s="16"/>
    </row>
    <row r="605" spans="1:5" x14ac:dyDescent="0.25">
      <c r="A605" s="65">
        <v>44440</v>
      </c>
      <c r="B605" s="82"/>
      <c r="C605" s="16"/>
      <c r="D605" s="71"/>
      <c r="E605" s="72"/>
    </row>
    <row r="606" spans="1:5" x14ac:dyDescent="0.25">
      <c r="A606" s="65">
        <v>44470</v>
      </c>
      <c r="B606" s="82"/>
      <c r="C606" s="16"/>
      <c r="D606" s="71"/>
      <c r="E606" s="72"/>
    </row>
    <row r="607" spans="1:5" ht="15.75" x14ac:dyDescent="0.25">
      <c r="A607" s="65">
        <v>44501</v>
      </c>
      <c r="B607" s="82"/>
      <c r="C607" s="16"/>
      <c r="D607" s="7"/>
      <c r="E607" s="10"/>
    </row>
    <row r="608" spans="1:5" ht="15.75" x14ac:dyDescent="0.25">
      <c r="A608" s="65">
        <v>44531</v>
      </c>
      <c r="B608" s="82"/>
      <c r="C608" s="16"/>
      <c r="D608" s="7"/>
      <c r="E608" s="10"/>
    </row>
    <row r="609" spans="1:5" ht="15.75" x14ac:dyDescent="0.25">
      <c r="A609" s="65">
        <v>44562</v>
      </c>
      <c r="B609" s="82"/>
      <c r="C609" s="16"/>
      <c r="D609" s="7"/>
      <c r="E609" s="10"/>
    </row>
    <row r="610" spans="1:5" ht="15.75" x14ac:dyDescent="0.25">
      <c r="A610" s="65">
        <v>44593</v>
      </c>
      <c r="B610" s="124"/>
      <c r="C610" s="16"/>
      <c r="D610" s="7"/>
      <c r="E610" s="10"/>
    </row>
    <row r="611" spans="1:5" ht="15.75" x14ac:dyDescent="0.25">
      <c r="A611" s="65">
        <v>44621</v>
      </c>
      <c r="B611" s="82"/>
      <c r="C611" s="16"/>
      <c r="D611" s="7"/>
      <c r="E611" s="10"/>
    </row>
    <row r="612" spans="1:5" ht="15.75" x14ac:dyDescent="0.25">
      <c r="A612" s="65">
        <v>44652</v>
      </c>
      <c r="B612" s="82"/>
      <c r="C612" s="16"/>
      <c r="D612" s="7"/>
      <c r="E612" s="10"/>
    </row>
    <row r="613" spans="1:5" ht="15.75" x14ac:dyDescent="0.25">
      <c r="A613" s="65">
        <v>44682</v>
      </c>
      <c r="B613" s="124"/>
      <c r="C613" s="16"/>
      <c r="D613" s="7"/>
      <c r="E613" s="10"/>
    </row>
    <row r="614" spans="1:5" ht="15.75" x14ac:dyDescent="0.25">
      <c r="A614" s="65">
        <v>44713</v>
      </c>
      <c r="B614" s="82"/>
      <c r="C614" s="16"/>
      <c r="D614" s="7"/>
      <c r="E614" s="10"/>
    </row>
    <row r="615" spans="1:5" ht="15.75" x14ac:dyDescent="0.25">
      <c r="A615" s="65">
        <v>44743</v>
      </c>
      <c r="B615" s="82"/>
      <c r="C615" s="16"/>
      <c r="D615" s="7"/>
      <c r="E615" s="10"/>
    </row>
    <row r="616" spans="1:5" ht="15.75" x14ac:dyDescent="0.25">
      <c r="A616" s="65">
        <v>44774</v>
      </c>
      <c r="B616" s="82"/>
      <c r="C616" s="16"/>
      <c r="D616" s="7"/>
      <c r="E616" s="10"/>
    </row>
    <row r="617" spans="1:5" ht="15.75" x14ac:dyDescent="0.25">
      <c r="A617" s="65">
        <v>44805</v>
      </c>
      <c r="B617" s="82"/>
      <c r="C617" s="16"/>
      <c r="D617" s="7"/>
      <c r="E617" s="10"/>
    </row>
    <row r="618" spans="1:5" ht="15.75" x14ac:dyDescent="0.25">
      <c r="A618" s="65">
        <v>44835</v>
      </c>
      <c r="B618" s="82"/>
      <c r="C618" s="16"/>
      <c r="D618" s="7"/>
      <c r="E618" s="10"/>
    </row>
    <row r="619" spans="1:5" ht="15.75" x14ac:dyDescent="0.25">
      <c r="A619" s="65">
        <v>44866</v>
      </c>
      <c r="B619" s="82"/>
      <c r="C619" s="16"/>
      <c r="D619" s="7"/>
      <c r="E619" s="10"/>
    </row>
    <row r="620" spans="1:5" ht="15.75" x14ac:dyDescent="0.25">
      <c r="A620" s="73">
        <v>44896</v>
      </c>
      <c r="B620" s="82"/>
      <c r="C620" s="16"/>
      <c r="D620" s="34"/>
      <c r="E620" s="123"/>
    </row>
    <row r="621" spans="1:5" ht="15.75" x14ac:dyDescent="0.25">
      <c r="A621" s="65">
        <v>44927</v>
      </c>
      <c r="B621" s="82"/>
      <c r="C621" s="16"/>
      <c r="D621" s="7"/>
      <c r="E621" s="10"/>
    </row>
    <row r="622" spans="1:5" ht="15.75" x14ac:dyDescent="0.25">
      <c r="A622" s="65">
        <v>44958</v>
      </c>
      <c r="B622" s="82"/>
      <c r="C622" s="16"/>
      <c r="D622" s="7"/>
      <c r="E622" s="10"/>
    </row>
    <row r="623" spans="1:5" ht="15.75" x14ac:dyDescent="0.25">
      <c r="A623" s="65">
        <v>44986</v>
      </c>
      <c r="B623" s="82"/>
      <c r="C623" s="16"/>
      <c r="D623" s="7"/>
      <c r="E623" s="74"/>
    </row>
    <row r="624" spans="1:5" ht="15.75" x14ac:dyDescent="0.25">
      <c r="A624" s="65">
        <v>45017</v>
      </c>
      <c r="B624" s="82"/>
      <c r="C624" s="16"/>
      <c r="D624" s="7"/>
      <c r="E624" s="74"/>
    </row>
    <row r="625" spans="1:5" ht="15.75" x14ac:dyDescent="0.25">
      <c r="A625" s="65">
        <v>45047</v>
      </c>
      <c r="B625" s="82"/>
      <c r="C625" s="16"/>
      <c r="D625" s="7"/>
      <c r="E625" s="74"/>
    </row>
    <row r="626" spans="1:5" ht="15.75" x14ac:dyDescent="0.25">
      <c r="A626" s="65">
        <v>45078</v>
      </c>
      <c r="B626" s="82"/>
      <c r="C626" s="16"/>
      <c r="D626" s="7"/>
      <c r="E626" s="74"/>
    </row>
    <row r="627" spans="1:5" ht="15.75" x14ac:dyDescent="0.25">
      <c r="A627" s="65">
        <v>45108</v>
      </c>
      <c r="B627" s="82"/>
      <c r="C627" s="16"/>
      <c r="D627" s="7"/>
      <c r="E627" s="74"/>
    </row>
    <row r="628" spans="1:5" ht="15.75" x14ac:dyDescent="0.25">
      <c r="A628" s="65">
        <v>45139</v>
      </c>
      <c r="B628" s="82"/>
      <c r="C628" s="16"/>
      <c r="D628" s="7"/>
      <c r="E628" s="74"/>
    </row>
    <row r="629" spans="1:5" ht="15.75" x14ac:dyDescent="0.25">
      <c r="A629" s="65">
        <v>45170</v>
      </c>
      <c r="B629" s="82"/>
      <c r="C629" s="16"/>
      <c r="D629" s="7"/>
      <c r="E629" s="74"/>
    </row>
    <row r="630" spans="1:5" ht="15.75" x14ac:dyDescent="0.25">
      <c r="A630" s="65">
        <v>45200</v>
      </c>
      <c r="B630" s="82"/>
      <c r="C630" s="16"/>
      <c r="D630" s="7"/>
      <c r="E630" s="74"/>
    </row>
    <row r="631" spans="1:5" ht="15.75" x14ac:dyDescent="0.25">
      <c r="A631" s="65">
        <v>45231</v>
      </c>
      <c r="B631" s="82"/>
      <c r="C631" s="16"/>
      <c r="D631" s="7"/>
      <c r="E631" s="74"/>
    </row>
    <row r="632" spans="1:5" ht="15.75" x14ac:dyDescent="0.25">
      <c r="A632" s="65">
        <v>45261</v>
      </c>
      <c r="B632" s="82"/>
      <c r="C632" s="16"/>
      <c r="D632" s="7"/>
      <c r="E632" s="10"/>
    </row>
  </sheetData>
  <mergeCells count="2">
    <mergeCell ref="B2:C2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Above700</vt:lpstr>
      <vt:lpstr>Above700Production</vt:lpstr>
      <vt:lpstr>ErroneousDataProduction</vt:lpstr>
      <vt:lpstr>ErroneousProd</vt:lpstr>
      <vt:lpstr>Sheet2</vt:lpstr>
      <vt:lpstr>ErroneousDataChloride</vt:lpstr>
      <vt:lpstr>Above700Chloride</vt:lpstr>
      <vt:lpstr>ErroneousChloride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 Wilson Zapata</dc:creator>
  <cp:keywords/>
  <dc:description/>
  <cp:lastModifiedBy>Matt Wilson Zapata</cp:lastModifiedBy>
  <cp:revision/>
  <dcterms:created xsi:type="dcterms:W3CDTF">2024-02-15T02:12:16Z</dcterms:created>
  <dcterms:modified xsi:type="dcterms:W3CDTF">2024-02-28T05:22:17Z</dcterms:modified>
  <cp:category/>
  <cp:contentStatus/>
</cp:coreProperties>
</file>